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mathew\cernbox\WINDOWS\Desktop\Git-Projects\HEP-Pheno-Project\7-TESLA_500G_Calibration\"/>
    </mc:Choice>
  </mc:AlternateContent>
  <xr:revisionPtr revIDLastSave="0" documentId="13_ncr:1_{EC750869-B72E-4DC5-97C2-1452CAA80AFE}" xr6:coauthVersionLast="47" xr6:coauthVersionMax="47" xr10:uidLastSave="{00000000-0000-0000-0000-000000000000}"/>
  <bookViews>
    <workbookView xWindow="-120" yWindow="-120" windowWidth="38640" windowHeight="21840" xr2:uid="{7960ABCD-F717-4580-A97E-BFEE8901837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6" i="1" l="1"/>
  <c r="K17" i="1"/>
  <c r="K18" i="1"/>
  <c r="E7" i="1"/>
  <c r="E16" i="1"/>
  <c r="E17" i="1"/>
  <c r="F8" i="1"/>
  <c r="F7" i="1"/>
  <c r="L8" i="1"/>
  <c r="L10" i="1"/>
  <c r="L9" i="1"/>
  <c r="L11" i="1"/>
  <c r="L7" i="1"/>
  <c r="K7" i="1" s="1"/>
  <c r="F17" i="1"/>
  <c r="F19" i="1"/>
  <c r="F18" i="1"/>
  <c r="F21" i="1"/>
  <c r="F20" i="1"/>
  <c r="F16" i="1"/>
  <c r="E18" i="1" s="1"/>
  <c r="L17" i="1"/>
  <c r="L19" i="1"/>
  <c r="M19" i="1" s="1"/>
  <c r="L18" i="1"/>
  <c r="L22" i="1"/>
  <c r="L21" i="1"/>
  <c r="L20" i="1"/>
  <c r="L16" i="1"/>
  <c r="K19" i="1" s="1"/>
  <c r="AD8" i="1"/>
  <c r="AD10" i="1"/>
  <c r="AE10" i="1" s="1"/>
  <c r="AD9" i="1"/>
  <c r="AE9" i="1" s="1"/>
  <c r="AD13" i="1"/>
  <c r="AE13" i="1" s="1"/>
  <c r="AD12" i="1"/>
  <c r="AD11" i="1"/>
  <c r="AD7" i="1"/>
  <c r="AA8" i="1" s="1"/>
  <c r="G20" i="1" l="1"/>
  <c r="E21" i="1"/>
  <c r="K22" i="1"/>
  <c r="K10" i="1"/>
  <c r="E20" i="1"/>
  <c r="K21" i="1"/>
  <c r="K9" i="1"/>
  <c r="E19" i="1"/>
  <c r="K20" i="1"/>
  <c r="K8" i="1"/>
  <c r="K11" i="1"/>
  <c r="AE11" i="1"/>
  <c r="AE12" i="1"/>
  <c r="M17" i="1"/>
  <c r="AE8" i="1"/>
  <c r="M22" i="1"/>
  <c r="G8" i="1"/>
  <c r="M18" i="1"/>
  <c r="M9" i="1"/>
  <c r="AA11" i="1"/>
  <c r="AA13" i="1"/>
  <c r="M10" i="1"/>
  <c r="AC12" i="1"/>
  <c r="M20" i="1"/>
  <c r="G21" i="1"/>
  <c r="M8" i="1"/>
  <c r="AC13" i="1"/>
  <c r="M21" i="1"/>
  <c r="G18" i="1"/>
  <c r="M11" i="1"/>
  <c r="G19" i="1"/>
  <c r="AC7" i="1"/>
  <c r="AA12" i="1"/>
  <c r="AA7" i="1"/>
  <c r="AC11" i="1"/>
  <c r="AC9" i="1"/>
  <c r="AA10" i="1"/>
  <c r="AC8" i="1"/>
  <c r="AA9" i="1"/>
  <c r="AC10" i="1"/>
  <c r="G17" i="1"/>
  <c r="E8" i="1" l="1"/>
</calcChain>
</file>

<file path=xl/sharedStrings.xml><?xml version="1.0" encoding="utf-8"?>
<sst xmlns="http://schemas.openxmlformats.org/spreadsheetml/2006/main" count="48" uniqueCount="15">
  <si>
    <t>al</t>
  </si>
  <si>
    <t>gZ</t>
  </si>
  <si>
    <t>ZZ</t>
  </si>
  <si>
    <t>WW</t>
  </si>
  <si>
    <t>tt</t>
  </si>
  <si>
    <t>HZ</t>
  </si>
  <si>
    <t>HW</t>
  </si>
  <si>
    <t>Total</t>
  </si>
  <si>
    <t>Non</t>
  </si>
  <si>
    <t>Rad</t>
  </si>
  <si>
    <t>Process</t>
  </si>
  <si>
    <t>Energy</t>
  </si>
  <si>
    <t>σ (nb)</t>
  </si>
  <si>
    <t>σ (pb)</t>
  </si>
  <si>
    <t>Non+Rad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</si>
</sst>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2" fontId="1" fillId="0" borderId="0" xfId="0" applyNumberFormat="1" applyFont="1"/>
    <xf numFmtId="0" fontId="2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2" fontId="1" fillId="2" borderId="1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2" fontId="1" fillId="3" borderId="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2" fontId="1" fillId="4" borderId="1" xfId="0" applyNumberFormat="1" applyFont="1" applyFill="1" applyBorder="1" applyAlignment="1">
      <alignment horizontal="left" vertical="center"/>
    </xf>
    <xf numFmtId="2" fontId="1" fillId="4" borderId="1" xfId="0" applyNumberFormat="1" applyFont="1" applyFill="1" applyBorder="1" applyAlignment="1">
      <alignment horizontal="left"/>
    </xf>
    <xf numFmtId="0" fontId="2" fillId="5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2" fontId="1" fillId="6" borderId="1" xfId="0" applyNumberFormat="1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8F55F-93F0-4A61-B4C8-B8A5CBE0D442}">
  <dimension ref="A5:AE22"/>
  <sheetViews>
    <sheetView tabSelected="1" topLeftCell="A4" zoomScale="250" zoomScaleNormal="250" workbookViewId="0">
      <selection activeCell="O10" sqref="O10"/>
    </sheetView>
  </sheetViews>
  <sheetFormatPr defaultRowHeight="15" x14ac:dyDescent="0.25"/>
  <cols>
    <col min="1" max="1" width="9.140625" style="1"/>
    <col min="2" max="2" width="9.85546875" style="1" bestFit="1" customWidth="1"/>
    <col min="3" max="3" width="9.140625" style="1"/>
    <col min="4" max="4" width="9.140625" style="1" customWidth="1"/>
    <col min="5" max="5" width="9.140625" style="1" hidden="1" customWidth="1"/>
    <col min="6" max="6" width="11.28515625" style="1" bestFit="1" customWidth="1"/>
    <col min="7" max="7" width="9.140625" style="1"/>
    <col min="8" max="8" width="9.28515625" style="1" bestFit="1" customWidth="1"/>
    <col min="9" max="9" width="9.140625" style="1"/>
    <col min="10" max="10" width="9.85546875" style="1" bestFit="1" customWidth="1"/>
    <col min="11" max="11" width="0" style="1" hidden="1" customWidth="1"/>
    <col min="12" max="12" width="11.28515625" style="1" bestFit="1" customWidth="1"/>
    <col min="13" max="13" width="9.140625" style="1"/>
    <col min="14" max="14" width="9.28515625" style="1" bestFit="1" customWidth="1"/>
    <col min="15" max="15" width="9.140625" style="1"/>
    <col min="16" max="16" width="9.85546875" style="1" bestFit="1" customWidth="1"/>
    <col min="17" max="17" width="9.140625" style="1"/>
    <col min="18" max="18" width="11.28515625" style="1" bestFit="1" customWidth="1"/>
    <col min="19" max="19" width="9.140625" style="1"/>
    <col min="20" max="20" width="9.85546875" style="1" bestFit="1" customWidth="1"/>
    <col min="21" max="21" width="9.140625" style="1"/>
    <col min="22" max="22" width="9.85546875" style="1" bestFit="1" customWidth="1"/>
    <col min="23" max="23" width="9.140625" style="1"/>
    <col min="24" max="25" width="11.28515625" style="1" bestFit="1" customWidth="1"/>
    <col min="26" max="26" width="9.85546875" style="1" bestFit="1" customWidth="1"/>
    <col min="27" max="27" width="9.140625" style="1"/>
    <col min="28" max="28" width="9.85546875" style="1" bestFit="1" customWidth="1"/>
    <col min="29" max="29" width="9.140625" style="1"/>
    <col min="30" max="31" width="11.28515625" style="1" bestFit="1" customWidth="1"/>
    <col min="32" max="16384" width="9.140625" style="1"/>
  </cols>
  <sheetData>
    <row r="5" spans="1:31" x14ac:dyDescent="0.25">
      <c r="A5" s="13" t="s">
        <v>11</v>
      </c>
      <c r="B5" s="17">
        <v>91.2</v>
      </c>
      <c r="C5" s="17"/>
      <c r="D5" s="17"/>
      <c r="E5" s="17"/>
      <c r="F5" s="17"/>
      <c r="G5" s="17"/>
      <c r="H5" s="17">
        <v>160</v>
      </c>
      <c r="I5" s="17"/>
      <c r="J5" s="17"/>
      <c r="K5" s="17"/>
      <c r="L5" s="17"/>
      <c r="M5" s="17"/>
      <c r="Z5" s="17">
        <v>500</v>
      </c>
      <c r="AA5" s="17"/>
      <c r="AB5" s="17"/>
      <c r="AC5" s="17"/>
      <c r="AD5" s="17"/>
      <c r="AE5" s="17"/>
    </row>
    <row r="6" spans="1:31" x14ac:dyDescent="0.25">
      <c r="A6" s="13" t="s">
        <v>10</v>
      </c>
      <c r="B6" s="3" t="s">
        <v>8</v>
      </c>
      <c r="C6" s="3" t="s">
        <v>12</v>
      </c>
      <c r="D6" s="6" t="s">
        <v>9</v>
      </c>
      <c r="E6" s="6" t="s">
        <v>12</v>
      </c>
      <c r="F6" s="9" t="s">
        <v>14</v>
      </c>
      <c r="G6" s="9" t="s">
        <v>12</v>
      </c>
      <c r="H6" s="3" t="s">
        <v>8</v>
      </c>
      <c r="I6" s="3" t="s">
        <v>13</v>
      </c>
      <c r="J6" s="6" t="s">
        <v>9</v>
      </c>
      <c r="K6" s="6" t="s">
        <v>13</v>
      </c>
      <c r="L6" s="9" t="s">
        <v>14</v>
      </c>
      <c r="M6" s="9" t="s">
        <v>13</v>
      </c>
      <c r="Z6" s="3" t="s">
        <v>8</v>
      </c>
      <c r="AA6" s="3" t="s">
        <v>13</v>
      </c>
      <c r="AB6" s="6" t="s">
        <v>9</v>
      </c>
      <c r="AC6" s="6" t="s">
        <v>13</v>
      </c>
      <c r="AD6" s="9" t="s">
        <v>7</v>
      </c>
      <c r="AE6" s="9" t="s">
        <v>13</v>
      </c>
    </row>
    <row r="7" spans="1:31" x14ac:dyDescent="0.25">
      <c r="A7" s="14" t="s">
        <v>0</v>
      </c>
      <c r="B7" s="4">
        <v>430955</v>
      </c>
      <c r="C7" s="5"/>
      <c r="D7" s="7">
        <v>569045</v>
      </c>
      <c r="E7" s="8">
        <f>D7*G7/F7</f>
        <v>17.293277549999999</v>
      </c>
      <c r="F7" s="10">
        <f>B7+D7</f>
        <v>1000000</v>
      </c>
      <c r="G7" s="11">
        <v>30.39</v>
      </c>
      <c r="H7" s="4">
        <v>74115</v>
      </c>
      <c r="I7" s="5"/>
      <c r="J7" s="7">
        <v>925885</v>
      </c>
      <c r="K7" s="8">
        <f>J7*M$7/L$7</f>
        <v>141.104874</v>
      </c>
      <c r="L7" s="10">
        <f>H7+J7</f>
        <v>1000000</v>
      </c>
      <c r="M7" s="11">
        <v>152.4</v>
      </c>
      <c r="Z7" s="4">
        <v>105018</v>
      </c>
      <c r="AA7" s="5">
        <f>Z7*AE$7/AD$7</f>
        <v>1.6120263000000001</v>
      </c>
      <c r="AB7" s="7">
        <v>894982</v>
      </c>
      <c r="AC7" s="8">
        <f>AB7*AE$7/AD$7</f>
        <v>13.7379737</v>
      </c>
      <c r="AD7" s="10">
        <f t="shared" ref="AD7:AD13" si="0">Z7+AB7</f>
        <v>1000000</v>
      </c>
      <c r="AE7" s="11">
        <v>15.35</v>
      </c>
    </row>
    <row r="8" spans="1:31" x14ac:dyDescent="0.25">
      <c r="A8" s="14" t="s">
        <v>1</v>
      </c>
      <c r="B8" s="4">
        <v>430955</v>
      </c>
      <c r="C8" s="5"/>
      <c r="D8" s="7">
        <v>569045</v>
      </c>
      <c r="E8" s="8">
        <f t="shared" ref="E8" si="1">D8*G8/F8</f>
        <v>17.293277549999999</v>
      </c>
      <c r="F8" s="10">
        <f>B8+D8</f>
        <v>1000000</v>
      </c>
      <c r="G8" s="11">
        <f>F8*G7/F7</f>
        <v>30.39</v>
      </c>
      <c r="H8" s="4">
        <v>70832</v>
      </c>
      <c r="I8" s="5"/>
      <c r="J8" s="7">
        <v>921081</v>
      </c>
      <c r="K8" s="8">
        <f t="shared" ref="K8:K11" si="2">J8*M$7/L$7</f>
        <v>140.37274440000002</v>
      </c>
      <c r="L8" s="10">
        <f>H8+J8</f>
        <v>991913</v>
      </c>
      <c r="M8" s="11">
        <f>L8*M$7/L$7</f>
        <v>151.16754120000002</v>
      </c>
      <c r="Z8" s="4">
        <v>39617</v>
      </c>
      <c r="AA8" s="5">
        <f t="shared" ref="AA8:AA11" si="3">Z8*AE$7/AD$7</f>
        <v>0.60812094999999999</v>
      </c>
      <c r="AB8" s="7">
        <v>687761</v>
      </c>
      <c r="AC8" s="8">
        <f t="shared" ref="AC8:AC11" si="4">AB8*AE$7/AD$7</f>
        <v>10.557131349999999</v>
      </c>
      <c r="AD8" s="10">
        <f t="shared" si="0"/>
        <v>727378</v>
      </c>
      <c r="AE8" s="12">
        <f>AD8*AE$7/AD$7</f>
        <v>11.165252299999999</v>
      </c>
    </row>
    <row r="9" spans="1:31" x14ac:dyDescent="0.25">
      <c r="A9" s="14" t="s">
        <v>3</v>
      </c>
      <c r="B9" s="15"/>
      <c r="C9" s="16"/>
      <c r="D9" s="15"/>
      <c r="E9" s="16"/>
      <c r="F9" s="15"/>
      <c r="G9" s="16"/>
      <c r="H9" s="4">
        <v>2843</v>
      </c>
      <c r="I9" s="5"/>
      <c r="J9" s="7">
        <v>3941</v>
      </c>
      <c r="K9" s="8">
        <f>J9*M$7/L$7</f>
        <v>0.60060840000000004</v>
      </c>
      <c r="L9" s="10">
        <f>H9+J9</f>
        <v>6784</v>
      </c>
      <c r="M9" s="11">
        <f>L9*M$7/L$7</f>
        <v>1.0338816000000002</v>
      </c>
      <c r="Z9" s="4">
        <v>56185</v>
      </c>
      <c r="AA9" s="5">
        <f>Z9*AE$7/AD$7</f>
        <v>0.86243974999999995</v>
      </c>
      <c r="AB9" s="7">
        <v>176832</v>
      </c>
      <c r="AC9" s="8">
        <f>AB9*AE$7/AD$7</f>
        <v>2.7143711999999995</v>
      </c>
      <c r="AD9" s="10">
        <f t="shared" si="0"/>
        <v>233017</v>
      </c>
      <c r="AE9" s="12">
        <f>AD9*AE$7/AD$7</f>
        <v>3.5768109499999996</v>
      </c>
    </row>
    <row r="10" spans="1:31" x14ac:dyDescent="0.25">
      <c r="A10" s="14" t="s">
        <v>2</v>
      </c>
      <c r="B10" s="15"/>
      <c r="C10" s="16"/>
      <c r="D10" s="15"/>
      <c r="E10" s="16"/>
      <c r="F10" s="15"/>
      <c r="G10" s="16"/>
      <c r="H10" s="4">
        <v>439</v>
      </c>
      <c r="I10" s="5"/>
      <c r="J10" s="7">
        <v>862</v>
      </c>
      <c r="K10" s="8">
        <f t="shared" si="2"/>
        <v>0.13136880000000001</v>
      </c>
      <c r="L10" s="10">
        <f>H10+J10</f>
        <v>1301</v>
      </c>
      <c r="M10" s="11">
        <f t="shared" ref="M10:M11" si="5">L10*M$7/L$7</f>
        <v>0.19827239999999999</v>
      </c>
      <c r="Z10" s="4">
        <v>4226</v>
      </c>
      <c r="AA10" s="5">
        <f t="shared" si="3"/>
        <v>6.4869099999999999E-2</v>
      </c>
      <c r="AB10" s="7">
        <v>13361</v>
      </c>
      <c r="AC10" s="8">
        <f t="shared" si="4"/>
        <v>0.20509135000000001</v>
      </c>
      <c r="AD10" s="10">
        <f t="shared" si="0"/>
        <v>17587</v>
      </c>
      <c r="AE10" s="12">
        <f t="shared" ref="AE10:AE11" si="6">AD10*AE$7/AD$7</f>
        <v>0.26996045000000002</v>
      </c>
    </row>
    <row r="11" spans="1:31" x14ac:dyDescent="0.25">
      <c r="A11" s="14" t="s">
        <v>6</v>
      </c>
      <c r="B11" s="15"/>
      <c r="C11" s="16"/>
      <c r="D11" s="15"/>
      <c r="E11" s="16"/>
      <c r="F11" s="15"/>
      <c r="G11" s="16"/>
      <c r="H11" s="4">
        <v>1</v>
      </c>
      <c r="I11" s="5"/>
      <c r="J11" s="7">
        <v>1</v>
      </c>
      <c r="K11" s="8">
        <f t="shared" si="2"/>
        <v>1.5240000000000002E-4</v>
      </c>
      <c r="L11" s="10">
        <f>H11+J11</f>
        <v>2</v>
      </c>
      <c r="M11" s="11">
        <f t="shared" si="5"/>
        <v>3.0480000000000004E-4</v>
      </c>
      <c r="Z11" s="4">
        <v>752</v>
      </c>
      <c r="AA11" s="5">
        <f t="shared" si="3"/>
        <v>1.1543199999999998E-2</v>
      </c>
      <c r="AB11" s="7">
        <v>2005</v>
      </c>
      <c r="AC11" s="8">
        <f t="shared" si="4"/>
        <v>3.0776749999999999E-2</v>
      </c>
      <c r="AD11" s="10">
        <f t="shared" si="0"/>
        <v>2757</v>
      </c>
      <c r="AE11" s="12">
        <f t="shared" si="6"/>
        <v>4.2319949999999995E-2</v>
      </c>
    </row>
    <row r="12" spans="1:31" x14ac:dyDescent="0.25">
      <c r="A12" s="14" t="s">
        <v>5</v>
      </c>
      <c r="B12" s="15"/>
      <c r="C12" s="16"/>
      <c r="D12" s="15"/>
      <c r="E12" s="16"/>
      <c r="F12" s="15"/>
      <c r="G12" s="16"/>
      <c r="H12" s="15"/>
      <c r="I12" s="16"/>
      <c r="J12" s="15"/>
      <c r="K12" s="16"/>
      <c r="L12" s="15"/>
      <c r="M12" s="16"/>
      <c r="Z12" s="4">
        <v>395</v>
      </c>
      <c r="AA12" s="5">
        <f>Z12*AE$7/AD$7</f>
        <v>6.0632500000000001E-3</v>
      </c>
      <c r="AB12" s="7">
        <v>1516</v>
      </c>
      <c r="AC12" s="8">
        <f>AB12*AE$7/AD$7</f>
        <v>2.3270599999999999E-2</v>
      </c>
      <c r="AD12" s="10">
        <f t="shared" si="0"/>
        <v>1911</v>
      </c>
      <c r="AE12" s="12">
        <f>AD12*AE$7/AD$7</f>
        <v>2.9333849999999998E-2</v>
      </c>
    </row>
    <row r="13" spans="1:31" x14ac:dyDescent="0.25">
      <c r="A13" s="14" t="s">
        <v>4</v>
      </c>
      <c r="B13" s="15"/>
      <c r="C13" s="16"/>
      <c r="D13" s="15"/>
      <c r="E13" s="16"/>
      <c r="F13" s="15"/>
      <c r="G13" s="16"/>
      <c r="H13" s="15"/>
      <c r="I13" s="16"/>
      <c r="J13" s="15"/>
      <c r="K13" s="16"/>
      <c r="L13" s="15"/>
      <c r="M13" s="16"/>
      <c r="Z13" s="4">
        <v>3843</v>
      </c>
      <c r="AA13" s="5">
        <f>Z13*AE$7/AD$7</f>
        <v>5.8990049999999995E-2</v>
      </c>
      <c r="AB13" s="7">
        <v>13507</v>
      </c>
      <c r="AC13" s="8">
        <f>AB13*AE$7/AD$7</f>
        <v>0.20733244999999997</v>
      </c>
      <c r="AD13" s="10">
        <f t="shared" si="0"/>
        <v>17350</v>
      </c>
      <c r="AE13" s="12">
        <f>AD13*AE$7/AD$7</f>
        <v>0.26632250000000002</v>
      </c>
    </row>
    <row r="14" spans="1:31" x14ac:dyDescent="0.25">
      <c r="A14" s="13" t="s">
        <v>11</v>
      </c>
      <c r="B14" s="17">
        <v>240</v>
      </c>
      <c r="C14" s="17"/>
      <c r="D14" s="17"/>
      <c r="E14" s="17"/>
      <c r="F14" s="17"/>
      <c r="G14" s="17"/>
      <c r="H14" s="17">
        <v>365</v>
      </c>
      <c r="I14" s="17"/>
      <c r="J14" s="17"/>
      <c r="K14" s="17"/>
      <c r="L14" s="17"/>
      <c r="M14" s="17"/>
      <c r="Y14" s="2"/>
    </row>
    <row r="15" spans="1:31" x14ac:dyDescent="0.25">
      <c r="A15" s="13" t="s">
        <v>10</v>
      </c>
      <c r="B15" s="3" t="s">
        <v>8</v>
      </c>
      <c r="C15" s="3" t="s">
        <v>13</v>
      </c>
      <c r="D15" s="6" t="s">
        <v>9</v>
      </c>
      <c r="E15" s="6" t="s">
        <v>13</v>
      </c>
      <c r="F15" s="9" t="s">
        <v>14</v>
      </c>
      <c r="G15" s="9" t="s">
        <v>13</v>
      </c>
      <c r="H15" s="3" t="s">
        <v>8</v>
      </c>
      <c r="I15" s="3" t="s">
        <v>13</v>
      </c>
      <c r="J15" s="6" t="s">
        <v>9</v>
      </c>
      <c r="K15" s="6" t="s">
        <v>13</v>
      </c>
      <c r="L15" s="9" t="s">
        <v>14</v>
      </c>
      <c r="M15" s="9" t="s">
        <v>13</v>
      </c>
    </row>
    <row r="16" spans="1:31" x14ac:dyDescent="0.25">
      <c r="A16" s="14" t="s">
        <v>0</v>
      </c>
      <c r="B16" s="4">
        <v>97055</v>
      </c>
      <c r="C16" s="5"/>
      <c r="D16" s="7">
        <v>902945</v>
      </c>
      <c r="E16" s="8">
        <f>D16*G$16/F$16</f>
        <v>54.4475835</v>
      </c>
      <c r="F16" s="10">
        <f>B16+D16</f>
        <v>1000000</v>
      </c>
      <c r="G16" s="11">
        <v>60.3</v>
      </c>
      <c r="H16" s="4">
        <v>102525</v>
      </c>
      <c r="I16" s="5"/>
      <c r="J16" s="7">
        <v>897475</v>
      </c>
      <c r="K16" s="8">
        <f>J16*M$16/L$16</f>
        <v>24.106178499999999</v>
      </c>
      <c r="L16" s="10">
        <f>H16+J16</f>
        <v>1000000</v>
      </c>
      <c r="M16" s="11">
        <v>26.86</v>
      </c>
    </row>
    <row r="17" spans="1:13" x14ac:dyDescent="0.25">
      <c r="A17" s="14" t="s">
        <v>1</v>
      </c>
      <c r="B17" s="4">
        <v>57323</v>
      </c>
      <c r="C17" s="5"/>
      <c r="D17" s="7">
        <v>806303</v>
      </c>
      <c r="E17" s="8">
        <f>D17*G$16/F$16</f>
        <v>48.620070900000002</v>
      </c>
      <c r="F17" s="10">
        <f>B17+D17</f>
        <v>863626</v>
      </c>
      <c r="G17" s="11">
        <f>F17*G$16/F$16</f>
        <v>52.076647799999996</v>
      </c>
      <c r="H17" s="4">
        <v>46173</v>
      </c>
      <c r="I17" s="5"/>
      <c r="J17" s="7">
        <v>738467</v>
      </c>
      <c r="K17" s="8">
        <f>J17*M$16/L$16</f>
        <v>19.835223620000001</v>
      </c>
      <c r="L17" s="10">
        <f>H17+J17</f>
        <v>784640</v>
      </c>
      <c r="M17" s="11">
        <f>L17*M$16/L$16</f>
        <v>21.075430399999998</v>
      </c>
    </row>
    <row r="18" spans="1:13" x14ac:dyDescent="0.25">
      <c r="A18" s="14" t="s">
        <v>3</v>
      </c>
      <c r="B18" s="4">
        <v>36170</v>
      </c>
      <c r="C18" s="5"/>
      <c r="D18" s="7">
        <v>88073</v>
      </c>
      <c r="E18" s="8">
        <f>D18*G$16/F$16</f>
        <v>5.3108018999999995</v>
      </c>
      <c r="F18" s="10">
        <f>B18+D18</f>
        <v>124243</v>
      </c>
      <c r="G18" s="11">
        <f>F18*G$16/F$16</f>
        <v>7.4918528999999996</v>
      </c>
      <c r="H18" s="4">
        <v>49739</v>
      </c>
      <c r="I18" s="5"/>
      <c r="J18" s="7">
        <v>140943</v>
      </c>
      <c r="K18" s="8">
        <f>J18*M$16/L$16</f>
        <v>3.78572898</v>
      </c>
      <c r="L18" s="10">
        <f>H18+J18</f>
        <v>190682</v>
      </c>
      <c r="M18" s="11">
        <f>L18*M$16/L$16</f>
        <v>5.1217185199999999</v>
      </c>
    </row>
    <row r="19" spans="1:13" x14ac:dyDescent="0.25">
      <c r="A19" s="14" t="s">
        <v>2</v>
      </c>
      <c r="B19" s="4">
        <v>3134</v>
      </c>
      <c r="C19" s="5"/>
      <c r="D19" s="7">
        <v>7531</v>
      </c>
      <c r="E19" s="8">
        <f>D19*G$16/F$16</f>
        <v>0.4541193</v>
      </c>
      <c r="F19" s="10">
        <f>B19+D19</f>
        <v>10665</v>
      </c>
      <c r="G19" s="11">
        <f>F19*G$16/F$16</f>
        <v>0.64309950000000005</v>
      </c>
      <c r="H19" s="4">
        <v>3892</v>
      </c>
      <c r="I19" s="5"/>
      <c r="J19" s="7">
        <v>11138</v>
      </c>
      <c r="K19" s="8">
        <f>J19*M$16/L$16</f>
        <v>0.29916668000000002</v>
      </c>
      <c r="L19" s="10">
        <f>H19+J19</f>
        <v>15030</v>
      </c>
      <c r="M19" s="11">
        <f>L19*M$16/L$16</f>
        <v>0.4037058</v>
      </c>
    </row>
    <row r="20" spans="1:13" x14ac:dyDescent="0.25">
      <c r="A20" s="14" t="s">
        <v>6</v>
      </c>
      <c r="B20" s="4">
        <v>15</v>
      </c>
      <c r="C20" s="5"/>
      <c r="D20" s="7">
        <v>44</v>
      </c>
      <c r="E20" s="8">
        <f>D20*G$16/F$16</f>
        <v>2.6531999999999997E-3</v>
      </c>
      <c r="F20" s="10">
        <f>B20+D20</f>
        <v>59</v>
      </c>
      <c r="G20" s="11">
        <f>F20*G$16/F$16</f>
        <v>3.5577E-3</v>
      </c>
      <c r="H20" s="4">
        <v>208</v>
      </c>
      <c r="I20" s="5"/>
      <c r="J20" s="7">
        <v>517</v>
      </c>
      <c r="K20" s="8">
        <f>J20*M$16/L$16</f>
        <v>1.3886619999999999E-2</v>
      </c>
      <c r="L20" s="10">
        <f>H20+J20</f>
        <v>725</v>
      </c>
      <c r="M20" s="11">
        <f>L20*M$16/L$16</f>
        <v>1.9473500000000001E-2</v>
      </c>
    </row>
    <row r="21" spans="1:13" x14ac:dyDescent="0.25">
      <c r="A21" s="14" t="s">
        <v>5</v>
      </c>
      <c r="B21" s="4">
        <v>413</v>
      </c>
      <c r="C21" s="5"/>
      <c r="D21" s="7">
        <v>994</v>
      </c>
      <c r="E21" s="8">
        <f>D21*G$16/F$16</f>
        <v>5.9938199999999997E-2</v>
      </c>
      <c r="F21" s="10">
        <f>B21+D21</f>
        <v>1407</v>
      </c>
      <c r="G21" s="11">
        <f>F21*G$16/F$16</f>
        <v>8.484209999999999E-2</v>
      </c>
      <c r="H21" s="4">
        <v>508</v>
      </c>
      <c r="I21" s="5"/>
      <c r="J21" s="7">
        <v>1601</v>
      </c>
      <c r="K21" s="8">
        <f>J21*M$16/L$16</f>
        <v>4.3002860000000004E-2</v>
      </c>
      <c r="L21" s="10">
        <f>H21+J21</f>
        <v>2109</v>
      </c>
      <c r="M21" s="11">
        <f>L21*M$16/L$16</f>
        <v>5.6647739999999995E-2</v>
      </c>
    </row>
    <row r="22" spans="1:13" x14ac:dyDescent="0.25">
      <c r="A22" s="14" t="s">
        <v>4</v>
      </c>
      <c r="B22" s="15"/>
      <c r="C22" s="16"/>
      <c r="D22" s="15"/>
      <c r="E22" s="16"/>
      <c r="F22" s="15"/>
      <c r="G22" s="16"/>
      <c r="H22" s="4">
        <v>2005</v>
      </c>
      <c r="I22" s="5"/>
      <c r="J22" s="7">
        <v>4809</v>
      </c>
      <c r="K22" s="8">
        <f>J22*M$16/L$16</f>
        <v>0.12916973999999998</v>
      </c>
      <c r="L22" s="10">
        <f>H22+J22</f>
        <v>6814</v>
      </c>
      <c r="M22" s="11">
        <f>L22*M$16/L$16</f>
        <v>0.18302404</v>
      </c>
    </row>
  </sheetData>
  <mergeCells count="5">
    <mergeCell ref="B5:G5"/>
    <mergeCell ref="H5:M5"/>
    <mergeCell ref="B14:G14"/>
    <mergeCell ref="H14:M14"/>
    <mergeCell ref="Z5:AE5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 Mathew</dc:creator>
  <cp:lastModifiedBy>Philip Mathew</cp:lastModifiedBy>
  <dcterms:created xsi:type="dcterms:W3CDTF">2025-09-12T14:35:14Z</dcterms:created>
  <dcterms:modified xsi:type="dcterms:W3CDTF">2025-09-25T14:41:49Z</dcterms:modified>
</cp:coreProperties>
</file>