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mathew\cernbox\WINDOWS\Desktop\Git-Projects\HEP-Pheno-Project\7-TESLA_500G_Calibration\"/>
    </mc:Choice>
  </mc:AlternateContent>
  <xr:revisionPtr revIDLastSave="0" documentId="13_ncr:1_{08712ACB-D1D8-4810-96E3-FFA63521C0B2}" xr6:coauthVersionLast="47" xr6:coauthVersionMax="47" xr10:uidLastSave="{00000000-0000-0000-0000-000000000000}"/>
  <bookViews>
    <workbookView xWindow="10785" yWindow="3570" windowWidth="12360" windowHeight="15375" activeTab="1" xr2:uid="{7960ABCD-F717-4580-A97E-BFEE89018374}"/>
  </bookViews>
  <sheets>
    <sheet name="ISR_ON_1M" sheetId="3" r:id="rId1"/>
    <sheet name="ISR_ON_5M" sheetId="1" r:id="rId2"/>
    <sheet name="ISR_OF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1" l="1"/>
  <c r="Q26" i="3"/>
  <c r="Q25" i="3"/>
  <c r="Q24" i="3"/>
  <c r="Q23" i="3"/>
  <c r="Q22" i="3"/>
  <c r="L22" i="3"/>
  <c r="P26" i="3" s="1"/>
  <c r="Q21" i="3"/>
  <c r="L21" i="3"/>
  <c r="P25" i="3" s="1"/>
  <c r="F21" i="3"/>
  <c r="G21" i="3" s="1"/>
  <c r="Q20" i="3"/>
  <c r="L20" i="3"/>
  <c r="M20" i="3" s="1"/>
  <c r="K20" i="3"/>
  <c r="F20" i="3"/>
  <c r="O24" i="3" s="1"/>
  <c r="Q19" i="3"/>
  <c r="L19" i="3"/>
  <c r="P23" i="3" s="1"/>
  <c r="K19" i="3"/>
  <c r="F19" i="3"/>
  <c r="O23" i="3" s="1"/>
  <c r="Q18" i="3"/>
  <c r="L18" i="3"/>
  <c r="P22" i="3" s="1"/>
  <c r="K18" i="3"/>
  <c r="F18" i="3"/>
  <c r="O22" i="3" s="1"/>
  <c r="Q17" i="3"/>
  <c r="L17" i="3"/>
  <c r="P21" i="3" s="1"/>
  <c r="K17" i="3"/>
  <c r="F17" i="3"/>
  <c r="O21" i="3" s="1"/>
  <c r="Q16" i="3"/>
  <c r="O16" i="3"/>
  <c r="L16" i="3"/>
  <c r="K22" i="3" s="1"/>
  <c r="K16" i="3"/>
  <c r="F16" i="3"/>
  <c r="E21" i="3" s="1"/>
  <c r="Q15" i="3"/>
  <c r="AD13" i="3"/>
  <c r="AE13" i="3" s="1"/>
  <c r="AC13" i="3"/>
  <c r="AA13" i="3"/>
  <c r="AE12" i="3"/>
  <c r="AD12" i="3"/>
  <c r="AD11" i="3"/>
  <c r="AE11" i="3" s="1"/>
  <c r="AC11" i="3"/>
  <c r="AA11" i="3"/>
  <c r="L11" i="3"/>
  <c r="P19" i="3" s="1"/>
  <c r="AD10" i="3"/>
  <c r="AE10" i="3" s="1"/>
  <c r="AC10" i="3"/>
  <c r="AA10" i="3"/>
  <c r="M10" i="3"/>
  <c r="L10" i="3"/>
  <c r="P18" i="3" s="1"/>
  <c r="AD9" i="3"/>
  <c r="AE9" i="3" s="1"/>
  <c r="AC9" i="3"/>
  <c r="AA9" i="3"/>
  <c r="L9" i="3"/>
  <c r="M9" i="3" s="1"/>
  <c r="AD8" i="3"/>
  <c r="AE8" i="3" s="1"/>
  <c r="AA8" i="3"/>
  <c r="L8" i="3"/>
  <c r="M8" i="3" s="1"/>
  <c r="K8" i="3"/>
  <c r="F8" i="3"/>
  <c r="AD7" i="3"/>
  <c r="AC12" i="3" s="1"/>
  <c r="AC7" i="3"/>
  <c r="AA7" i="3"/>
  <c r="L7" i="3"/>
  <c r="M11" i="3" s="1"/>
  <c r="K7" i="3"/>
  <c r="F7" i="3"/>
  <c r="G8" i="3" s="1"/>
  <c r="E8" i="3" s="1"/>
  <c r="D12" i="2"/>
  <c r="E12" i="2"/>
  <c r="F12" i="2"/>
  <c r="G12" i="2"/>
  <c r="C12" i="2"/>
  <c r="D11" i="2"/>
  <c r="E11" i="2"/>
  <c r="F11" i="2"/>
  <c r="G11" i="2"/>
  <c r="C11" i="2"/>
  <c r="D10" i="2"/>
  <c r="E10" i="2"/>
  <c r="F10" i="2"/>
  <c r="G10" i="2"/>
  <c r="C10" i="2"/>
  <c r="D7" i="2"/>
  <c r="B3" i="2"/>
  <c r="Q16" i="1"/>
  <c r="Q17" i="1"/>
  <c r="Q18" i="1"/>
  <c r="Q19" i="1"/>
  <c r="Q15" i="1"/>
  <c r="Q21" i="1"/>
  <c r="Q22" i="1"/>
  <c r="Q23" i="1"/>
  <c r="Q24" i="1"/>
  <c r="Q25" i="1"/>
  <c r="Q26" i="1"/>
  <c r="Q20" i="1"/>
  <c r="P20" i="1"/>
  <c r="F7" i="1"/>
  <c r="E7" i="1" s="1"/>
  <c r="K16" i="1"/>
  <c r="K17" i="1"/>
  <c r="K18" i="1"/>
  <c r="F8" i="1"/>
  <c r="O16" i="1" s="1"/>
  <c r="L8" i="1"/>
  <c r="L10" i="1"/>
  <c r="P18" i="1" s="1"/>
  <c r="L9" i="1"/>
  <c r="P17" i="1" s="1"/>
  <c r="L11" i="1"/>
  <c r="P19" i="1" s="1"/>
  <c r="L7" i="1"/>
  <c r="K7" i="1" s="1"/>
  <c r="F17" i="1"/>
  <c r="O21" i="1" s="1"/>
  <c r="F19" i="1"/>
  <c r="O23" i="1" s="1"/>
  <c r="F18" i="1"/>
  <c r="O22" i="1" s="1"/>
  <c r="F21" i="1"/>
  <c r="O25" i="1" s="1"/>
  <c r="F20" i="1"/>
  <c r="O24" i="1" s="1"/>
  <c r="F16" i="1"/>
  <c r="E18" i="1" s="1"/>
  <c r="L17" i="1"/>
  <c r="P21" i="1" s="1"/>
  <c r="L19" i="1"/>
  <c r="M19" i="1" s="1"/>
  <c r="L18" i="1"/>
  <c r="P22" i="1" s="1"/>
  <c r="L22" i="1"/>
  <c r="P26" i="1" s="1"/>
  <c r="L21" i="1"/>
  <c r="P25" i="1" s="1"/>
  <c r="L20" i="1"/>
  <c r="P24" i="1" s="1"/>
  <c r="K19" i="1"/>
  <c r="AD8" i="1"/>
  <c r="AD10" i="1"/>
  <c r="AE10" i="1" s="1"/>
  <c r="AD9" i="1"/>
  <c r="AE9" i="1" s="1"/>
  <c r="AD13" i="1"/>
  <c r="AE13" i="1" s="1"/>
  <c r="AD12" i="1"/>
  <c r="AD11" i="1"/>
  <c r="AD7" i="1"/>
  <c r="AA8" i="1" s="1"/>
  <c r="M8" i="1" l="1"/>
  <c r="P15" i="1"/>
  <c r="P16" i="1"/>
  <c r="O15" i="1"/>
  <c r="E16" i="1"/>
  <c r="E17" i="1"/>
  <c r="O20" i="1"/>
  <c r="P23" i="1"/>
  <c r="K21" i="3"/>
  <c r="M22" i="3"/>
  <c r="P24" i="3"/>
  <c r="G18" i="3"/>
  <c r="M17" i="3"/>
  <c r="M18" i="3"/>
  <c r="M19" i="3"/>
  <c r="G20" i="3"/>
  <c r="AC8" i="3"/>
  <c r="AA12" i="3"/>
  <c r="O15" i="3"/>
  <c r="P16" i="3"/>
  <c r="P17" i="3"/>
  <c r="O20" i="3"/>
  <c r="M21" i="3"/>
  <c r="O25" i="3"/>
  <c r="K11" i="3"/>
  <c r="P15" i="3"/>
  <c r="P20" i="3"/>
  <c r="G17" i="3"/>
  <c r="E7" i="3"/>
  <c r="K10" i="3"/>
  <c r="E17" i="3"/>
  <c r="E18" i="3"/>
  <c r="E19" i="3"/>
  <c r="E20" i="3"/>
  <c r="G19" i="3"/>
  <c r="K9" i="3"/>
  <c r="E16" i="3"/>
  <c r="D6" i="2"/>
  <c r="D3" i="2"/>
  <c r="D4" i="2"/>
  <c r="D5" i="2"/>
  <c r="B4" i="2"/>
  <c r="G20" i="1"/>
  <c r="E21" i="1"/>
  <c r="K22" i="1"/>
  <c r="K10" i="1"/>
  <c r="E20" i="1"/>
  <c r="K21" i="1"/>
  <c r="K9" i="1"/>
  <c r="E19" i="1"/>
  <c r="K20" i="1"/>
  <c r="K8" i="1"/>
  <c r="K11" i="1"/>
  <c r="AE11" i="1"/>
  <c r="AE12" i="1"/>
  <c r="M17" i="1"/>
  <c r="AE8" i="1"/>
  <c r="M22" i="1"/>
  <c r="G8" i="1"/>
  <c r="M18" i="1"/>
  <c r="M9" i="1"/>
  <c r="AA11" i="1"/>
  <c r="AA13" i="1"/>
  <c r="M10" i="1"/>
  <c r="AC12" i="1"/>
  <c r="M20" i="1"/>
  <c r="G21" i="1"/>
  <c r="AC13" i="1"/>
  <c r="M21" i="1"/>
  <c r="G18" i="1"/>
  <c r="M11" i="1"/>
  <c r="G19" i="1"/>
  <c r="AC7" i="1"/>
  <c r="AA12" i="1"/>
  <c r="AA7" i="1"/>
  <c r="AC11" i="1"/>
  <c r="AC9" i="1"/>
  <c r="AA10" i="1"/>
  <c r="AC8" i="1"/>
  <c r="AA9" i="1"/>
  <c r="AC10" i="1"/>
  <c r="G17" i="1"/>
  <c r="E8" i="1" l="1"/>
</calcChain>
</file>

<file path=xl/sharedStrings.xml><?xml version="1.0" encoding="utf-8"?>
<sst xmlns="http://schemas.openxmlformats.org/spreadsheetml/2006/main" count="104" uniqueCount="15">
  <si>
    <t>al</t>
  </si>
  <si>
    <t>gZ</t>
  </si>
  <si>
    <t>ZZ</t>
  </si>
  <si>
    <t>WW</t>
  </si>
  <si>
    <t>tt</t>
  </si>
  <si>
    <t>HZ</t>
  </si>
  <si>
    <t>HW</t>
  </si>
  <si>
    <t>Total</t>
  </si>
  <si>
    <t>Non</t>
  </si>
  <si>
    <t>Rad</t>
  </si>
  <si>
    <t>Process</t>
  </si>
  <si>
    <t>Energy</t>
  </si>
  <si>
    <t>σ (nb)</t>
  </si>
  <si>
    <t>σ (pb)</t>
  </si>
  <si>
    <t>Non+Rad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</si>
</sst>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2" fontId="1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2" fontId="1" fillId="3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2" fontId="1" fillId="4" borderId="1" xfId="0" applyNumberFormat="1" applyFont="1" applyFill="1" applyBorder="1" applyAlignment="1">
      <alignment horizontal="left" vertical="center"/>
    </xf>
    <xf numFmtId="2" fontId="1" fillId="4" borderId="1" xfId="0" applyNumberFormat="1" applyFont="1" applyFill="1" applyBorder="1" applyAlignment="1">
      <alignment horizontal="left"/>
    </xf>
    <xf numFmtId="0" fontId="2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2" fontId="1" fillId="6" borderId="1" xfId="0" applyNumberFormat="1" applyFont="1" applyFill="1" applyBorder="1" applyAlignment="1">
      <alignment horizontal="left" vertical="center"/>
    </xf>
    <xf numFmtId="11" fontId="1" fillId="0" borderId="0" xfId="0" applyNumberFormat="1" applyFont="1"/>
    <xf numFmtId="0" fontId="2" fillId="5" borderId="1" xfId="0" applyFont="1" applyFill="1" applyBorder="1" applyAlignment="1">
      <alignment horizontal="center" vertical="center"/>
    </xf>
    <xf numFmtId="164" fontId="1" fillId="0" borderId="0" xfId="0" applyNumberFormat="1" applyFont="1"/>
    <xf numFmtId="1" fontId="1" fillId="4" borderId="1" xfId="0" applyNumberFormat="1" applyFont="1" applyFill="1" applyBorder="1" applyAlignment="1">
      <alignment horizontal="left" vertical="center"/>
    </xf>
    <xf numFmtId="1" fontId="1" fillId="3" borderId="1" xfId="0" applyNumberFormat="1" applyFont="1" applyFill="1" applyBorder="1" applyAlignment="1">
      <alignment horizontal="left" vertical="center"/>
    </xf>
    <xf numFmtId="1" fontId="1" fillId="0" borderId="0" xfId="0" applyNumberFormat="1" applyFont="1"/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65484</xdr:colOff>
      <xdr:row>22</xdr:row>
      <xdr:rowOff>75320</xdr:rowOff>
    </xdr:from>
    <xdr:to>
      <xdr:col>12</xdr:col>
      <xdr:colOff>603853</xdr:colOff>
      <xdr:row>32</xdr:row>
      <xdr:rowOff>167470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C58325-EFA4-45E2-8B62-739018E72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84" y="4266320"/>
          <a:ext cx="7024894" cy="1997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81031-C592-4223-BD1B-7DB014710974}">
  <dimension ref="A5:AE45"/>
  <sheetViews>
    <sheetView zoomScale="160" zoomScaleNormal="160" workbookViewId="0">
      <selection activeCell="N41" sqref="N41"/>
    </sheetView>
  </sheetViews>
  <sheetFormatPr defaultRowHeight="15" x14ac:dyDescent="0.25"/>
  <cols>
    <col min="1" max="1" width="9.140625" style="1"/>
    <col min="2" max="2" width="9.85546875" style="1" bestFit="1" customWidth="1"/>
    <col min="3" max="3" width="9.140625" style="1"/>
    <col min="4" max="4" width="9.140625" style="1" customWidth="1"/>
    <col min="5" max="5" width="9.140625" style="1" hidden="1" customWidth="1"/>
    <col min="6" max="6" width="11.28515625" style="1" bestFit="1" customWidth="1"/>
    <col min="7" max="7" width="9.140625" style="1"/>
    <col min="8" max="8" width="9.28515625" style="1" bestFit="1" customWidth="1"/>
    <col min="9" max="9" width="9.140625" style="1"/>
    <col min="10" max="10" width="9.85546875" style="1" bestFit="1" customWidth="1"/>
    <col min="11" max="11" width="0" style="1" hidden="1" customWidth="1"/>
    <col min="12" max="12" width="11.28515625" style="1" bestFit="1" customWidth="1"/>
    <col min="13" max="13" width="9.140625" style="1"/>
    <col min="14" max="14" width="9.28515625" style="1" bestFit="1" customWidth="1"/>
    <col min="15" max="15" width="9.140625" style="1"/>
    <col min="16" max="16" width="9.85546875" style="1" bestFit="1" customWidth="1"/>
    <col min="17" max="17" width="9.140625" style="1"/>
    <col min="18" max="18" width="11.28515625" style="1" bestFit="1" customWidth="1"/>
    <col min="19" max="19" width="9.140625" style="1"/>
    <col min="20" max="20" width="9.85546875" style="1" bestFit="1" customWidth="1"/>
    <col min="21" max="21" width="9.140625" style="1"/>
    <col min="22" max="22" width="9.85546875" style="1" bestFit="1" customWidth="1"/>
    <col min="23" max="23" width="9.140625" style="1"/>
    <col min="24" max="25" width="11.28515625" style="1" bestFit="1" customWidth="1"/>
    <col min="26" max="26" width="9.85546875" style="1" bestFit="1" customWidth="1"/>
    <col min="27" max="27" width="9.140625" style="1"/>
    <col min="28" max="28" width="9.85546875" style="1" bestFit="1" customWidth="1"/>
    <col min="29" max="29" width="9.140625" style="1"/>
    <col min="30" max="31" width="11.28515625" style="1" bestFit="1" customWidth="1"/>
    <col min="32" max="16384" width="9.140625" style="1"/>
  </cols>
  <sheetData>
    <row r="5" spans="1:31" x14ac:dyDescent="0.25">
      <c r="A5" s="13" t="s">
        <v>11</v>
      </c>
      <c r="B5" s="23">
        <v>91.2</v>
      </c>
      <c r="C5" s="23"/>
      <c r="D5" s="23"/>
      <c r="E5" s="23"/>
      <c r="F5" s="23"/>
      <c r="G5" s="23"/>
      <c r="H5" s="23">
        <v>160</v>
      </c>
      <c r="I5" s="23"/>
      <c r="J5" s="23"/>
      <c r="K5" s="23"/>
      <c r="L5" s="23"/>
      <c r="M5" s="23"/>
      <c r="Z5" s="23">
        <v>500</v>
      </c>
      <c r="AA5" s="23"/>
      <c r="AB5" s="23"/>
      <c r="AC5" s="23"/>
      <c r="AD5" s="23"/>
      <c r="AE5" s="23"/>
    </row>
    <row r="6" spans="1:31" x14ac:dyDescent="0.25">
      <c r="A6" s="13" t="s">
        <v>10</v>
      </c>
      <c r="B6" s="3" t="s">
        <v>8</v>
      </c>
      <c r="C6" s="3" t="s">
        <v>12</v>
      </c>
      <c r="D6" s="6" t="s">
        <v>9</v>
      </c>
      <c r="E6" s="6" t="s">
        <v>12</v>
      </c>
      <c r="F6" s="9" t="s">
        <v>14</v>
      </c>
      <c r="G6" s="9" t="s">
        <v>12</v>
      </c>
      <c r="H6" s="3" t="s">
        <v>8</v>
      </c>
      <c r="I6" s="3" t="s">
        <v>13</v>
      </c>
      <c r="J6" s="6" t="s">
        <v>9</v>
      </c>
      <c r="K6" s="6" t="s">
        <v>13</v>
      </c>
      <c r="L6" s="9" t="s">
        <v>14</v>
      </c>
      <c r="M6" s="9" t="s">
        <v>13</v>
      </c>
      <c r="Z6" s="3" t="s">
        <v>8</v>
      </c>
      <c r="AA6" s="3" t="s">
        <v>13</v>
      </c>
      <c r="AB6" s="6" t="s">
        <v>9</v>
      </c>
      <c r="AC6" s="6" t="s">
        <v>13</v>
      </c>
      <c r="AD6" s="9" t="s">
        <v>7</v>
      </c>
      <c r="AE6" s="9" t="s">
        <v>13</v>
      </c>
    </row>
    <row r="7" spans="1:31" x14ac:dyDescent="0.25">
      <c r="A7" s="14" t="s">
        <v>0</v>
      </c>
      <c r="B7" s="4">
        <v>430955</v>
      </c>
      <c r="C7" s="5"/>
      <c r="D7" s="7">
        <v>569045</v>
      </c>
      <c r="E7" s="8">
        <f>D7*G7/F7</f>
        <v>17.293277549999999</v>
      </c>
      <c r="F7" s="10">
        <f>B7+D7</f>
        <v>1000000</v>
      </c>
      <c r="G7" s="11">
        <v>30.39</v>
      </c>
      <c r="H7" s="4">
        <v>74115</v>
      </c>
      <c r="I7" s="5"/>
      <c r="J7" s="7">
        <v>925885</v>
      </c>
      <c r="K7" s="8">
        <f>J7*M$7/L$7</f>
        <v>141.104874</v>
      </c>
      <c r="L7" s="10">
        <f>H7+J7</f>
        <v>1000000</v>
      </c>
      <c r="M7" s="11">
        <v>152.4</v>
      </c>
      <c r="Z7" s="4">
        <v>105018</v>
      </c>
      <c r="AA7" s="5">
        <f>Z7*AE$7/AD$7</f>
        <v>1.6120263000000001</v>
      </c>
      <c r="AB7" s="7">
        <v>894982</v>
      </c>
      <c r="AC7" s="8">
        <f>AB7*AE$7/AD$7</f>
        <v>13.7379737</v>
      </c>
      <c r="AD7" s="10">
        <f t="shared" ref="AD7:AD13" si="0">Z7+AB7</f>
        <v>1000000</v>
      </c>
      <c r="AE7" s="11">
        <v>15.35</v>
      </c>
    </row>
    <row r="8" spans="1:31" x14ac:dyDescent="0.25">
      <c r="A8" s="14" t="s">
        <v>1</v>
      </c>
      <c r="B8" s="4">
        <v>430955</v>
      </c>
      <c r="C8" s="5"/>
      <c r="D8" s="7">
        <v>569045</v>
      </c>
      <c r="E8" s="8">
        <f t="shared" ref="E8" si="1">D8*G8/F8</f>
        <v>17.293277549999999</v>
      </c>
      <c r="F8" s="10">
        <f>B8+D8</f>
        <v>1000000</v>
      </c>
      <c r="G8" s="11">
        <f>F8*G7/F7</f>
        <v>30.39</v>
      </c>
      <c r="H8" s="4">
        <v>70832</v>
      </c>
      <c r="I8" s="5"/>
      <c r="J8" s="7">
        <v>921081</v>
      </c>
      <c r="K8" s="8">
        <f t="shared" ref="K8:K11" si="2">J8*M$7/L$7</f>
        <v>140.37274440000002</v>
      </c>
      <c r="L8" s="10">
        <f>H8+J8</f>
        <v>991913</v>
      </c>
      <c r="M8" s="11">
        <f>L8*M$7/L$7</f>
        <v>151.16754120000002</v>
      </c>
      <c r="O8" s="17"/>
      <c r="Z8" s="4">
        <v>39617</v>
      </c>
      <c r="AA8" s="5">
        <f t="shared" ref="AA8:AA11" si="3">Z8*AE$7/AD$7</f>
        <v>0.60812094999999999</v>
      </c>
      <c r="AB8" s="7">
        <v>687761</v>
      </c>
      <c r="AC8" s="8">
        <f t="shared" ref="AC8:AC11" si="4">AB8*AE$7/AD$7</f>
        <v>10.557131349999999</v>
      </c>
      <c r="AD8" s="10">
        <f t="shared" si="0"/>
        <v>727378</v>
      </c>
      <c r="AE8" s="12">
        <f>AD8*AE$7/AD$7</f>
        <v>11.165252299999999</v>
      </c>
    </row>
    <row r="9" spans="1:31" x14ac:dyDescent="0.25">
      <c r="A9" s="14" t="s">
        <v>3</v>
      </c>
      <c r="B9" s="15"/>
      <c r="C9" s="16"/>
      <c r="D9" s="15"/>
      <c r="E9" s="16"/>
      <c r="F9" s="15"/>
      <c r="G9" s="16"/>
      <c r="H9" s="4">
        <v>2843</v>
      </c>
      <c r="I9" s="5"/>
      <c r="J9" s="7">
        <v>3941</v>
      </c>
      <c r="K9" s="8">
        <f>J9*M$7/L$7</f>
        <v>0.60060840000000004</v>
      </c>
      <c r="L9" s="10">
        <f>H9+J9</f>
        <v>6784</v>
      </c>
      <c r="M9" s="11">
        <f>L9*M$7/L$7</f>
        <v>1.0338816000000002</v>
      </c>
      <c r="Z9" s="4">
        <v>56185</v>
      </c>
      <c r="AA9" s="5">
        <f>Z9*AE$7/AD$7</f>
        <v>0.86243974999999995</v>
      </c>
      <c r="AB9" s="7">
        <v>176832</v>
      </c>
      <c r="AC9" s="8">
        <f>AB9*AE$7/AD$7</f>
        <v>2.7143711999999995</v>
      </c>
      <c r="AD9" s="10">
        <f t="shared" si="0"/>
        <v>233017</v>
      </c>
      <c r="AE9" s="12">
        <f>AD9*AE$7/AD$7</f>
        <v>3.5768109499999996</v>
      </c>
    </row>
    <row r="10" spans="1:31" x14ac:dyDescent="0.25">
      <c r="A10" s="14" t="s">
        <v>2</v>
      </c>
      <c r="B10" s="15"/>
      <c r="C10" s="16"/>
      <c r="D10" s="15"/>
      <c r="E10" s="16"/>
      <c r="F10" s="15"/>
      <c r="G10" s="16"/>
      <c r="H10" s="4">
        <v>439</v>
      </c>
      <c r="I10" s="5"/>
      <c r="J10" s="7">
        <v>862</v>
      </c>
      <c r="K10" s="8">
        <f t="shared" si="2"/>
        <v>0.13136880000000001</v>
      </c>
      <c r="L10" s="10">
        <f>H10+J10</f>
        <v>1301</v>
      </c>
      <c r="M10" s="11">
        <f t="shared" ref="M10:M11" si="5">L10*M$7/L$7</f>
        <v>0.19827239999999999</v>
      </c>
      <c r="O10" s="17"/>
      <c r="Z10" s="4">
        <v>4226</v>
      </c>
      <c r="AA10" s="5">
        <f t="shared" si="3"/>
        <v>6.4869099999999999E-2</v>
      </c>
      <c r="AB10" s="7">
        <v>13361</v>
      </c>
      <c r="AC10" s="8">
        <f t="shared" si="4"/>
        <v>0.20509135000000001</v>
      </c>
      <c r="AD10" s="10">
        <f t="shared" si="0"/>
        <v>17587</v>
      </c>
      <c r="AE10" s="12">
        <f t="shared" ref="AE10:AE11" si="6">AD10*AE$7/AD$7</f>
        <v>0.26996045000000002</v>
      </c>
    </row>
    <row r="11" spans="1:31" x14ac:dyDescent="0.25">
      <c r="A11" s="14" t="s">
        <v>6</v>
      </c>
      <c r="B11" s="15"/>
      <c r="C11" s="16"/>
      <c r="D11" s="15"/>
      <c r="E11" s="16"/>
      <c r="F11" s="15"/>
      <c r="G11" s="16"/>
      <c r="H11" s="4">
        <v>1</v>
      </c>
      <c r="I11" s="5"/>
      <c r="J11" s="7">
        <v>1</v>
      </c>
      <c r="K11" s="8">
        <f t="shared" si="2"/>
        <v>1.5240000000000002E-4</v>
      </c>
      <c r="L11" s="10">
        <f>H11+J11</f>
        <v>2</v>
      </c>
      <c r="M11" s="11">
        <f t="shared" si="5"/>
        <v>3.0480000000000004E-4</v>
      </c>
      <c r="Z11" s="4">
        <v>752</v>
      </c>
      <c r="AA11" s="5">
        <f t="shared" si="3"/>
        <v>1.1543199999999998E-2</v>
      </c>
      <c r="AB11" s="7">
        <v>2005</v>
      </c>
      <c r="AC11" s="8">
        <f t="shared" si="4"/>
        <v>3.0776749999999999E-2</v>
      </c>
      <c r="AD11" s="10">
        <f t="shared" si="0"/>
        <v>2757</v>
      </c>
      <c r="AE11" s="12">
        <f t="shared" si="6"/>
        <v>4.2319949999999995E-2</v>
      </c>
    </row>
    <row r="12" spans="1:31" x14ac:dyDescent="0.25">
      <c r="A12" s="14" t="s">
        <v>5</v>
      </c>
      <c r="B12" s="15"/>
      <c r="C12" s="16"/>
      <c r="D12" s="15"/>
      <c r="E12" s="16"/>
      <c r="F12" s="15"/>
      <c r="G12" s="16"/>
      <c r="H12" s="15"/>
      <c r="I12" s="16"/>
      <c r="J12" s="15"/>
      <c r="K12" s="16"/>
      <c r="L12" s="15"/>
      <c r="M12" s="16"/>
      <c r="Z12" s="4">
        <v>395</v>
      </c>
      <c r="AA12" s="5">
        <f>Z12*AE$7/AD$7</f>
        <v>6.0632500000000001E-3</v>
      </c>
      <c r="AB12" s="7">
        <v>1516</v>
      </c>
      <c r="AC12" s="8">
        <f>AB12*AE$7/AD$7</f>
        <v>2.3270599999999999E-2</v>
      </c>
      <c r="AD12" s="10">
        <f t="shared" si="0"/>
        <v>1911</v>
      </c>
      <c r="AE12" s="12">
        <f>AD12*AE$7/AD$7</f>
        <v>2.9333849999999998E-2</v>
      </c>
    </row>
    <row r="13" spans="1:31" x14ac:dyDescent="0.25">
      <c r="A13" s="14" t="s">
        <v>4</v>
      </c>
      <c r="B13" s="15"/>
      <c r="C13" s="16"/>
      <c r="D13" s="15"/>
      <c r="E13" s="16"/>
      <c r="F13" s="15"/>
      <c r="G13" s="16"/>
      <c r="H13" s="15"/>
      <c r="I13" s="16"/>
      <c r="J13" s="15"/>
      <c r="K13" s="16"/>
      <c r="L13" s="15"/>
      <c r="M13" s="16"/>
      <c r="Z13" s="4">
        <v>3843</v>
      </c>
      <c r="AA13" s="5">
        <f>Z13*AE$7/AD$7</f>
        <v>5.8990049999999995E-2</v>
      </c>
      <c r="AB13" s="7">
        <v>13507</v>
      </c>
      <c r="AC13" s="8">
        <f>AB13*AE$7/AD$7</f>
        <v>0.20733244999999997</v>
      </c>
      <c r="AD13" s="10">
        <f t="shared" si="0"/>
        <v>17350</v>
      </c>
      <c r="AE13" s="12">
        <f>AD13*AE$7/AD$7</f>
        <v>0.26632250000000002</v>
      </c>
    </row>
    <row r="14" spans="1:31" x14ac:dyDescent="0.25">
      <c r="A14" s="13" t="s">
        <v>11</v>
      </c>
      <c r="B14" s="23">
        <v>240</v>
      </c>
      <c r="C14" s="23"/>
      <c r="D14" s="23"/>
      <c r="E14" s="23"/>
      <c r="F14" s="23"/>
      <c r="G14" s="23"/>
      <c r="H14" s="23">
        <v>365</v>
      </c>
      <c r="I14" s="23"/>
      <c r="J14" s="23"/>
      <c r="K14" s="23"/>
      <c r="L14" s="23"/>
      <c r="M14" s="23"/>
      <c r="Y14" s="2"/>
    </row>
    <row r="15" spans="1:31" x14ac:dyDescent="0.25">
      <c r="A15" s="13" t="s">
        <v>10</v>
      </c>
      <c r="B15" s="3" t="s">
        <v>8</v>
      </c>
      <c r="C15" s="3" t="s">
        <v>13</v>
      </c>
      <c r="D15" s="6" t="s">
        <v>9</v>
      </c>
      <c r="E15" s="6" t="s">
        <v>13</v>
      </c>
      <c r="F15" s="9" t="s">
        <v>14</v>
      </c>
      <c r="G15" s="9" t="s">
        <v>13</v>
      </c>
      <c r="H15" s="3" t="s">
        <v>8</v>
      </c>
      <c r="I15" s="3" t="s">
        <v>13</v>
      </c>
      <c r="J15" s="6" t="s">
        <v>9</v>
      </c>
      <c r="K15" s="6" t="s">
        <v>13</v>
      </c>
      <c r="L15" s="9" t="s">
        <v>14</v>
      </c>
      <c r="M15" s="9" t="s">
        <v>13</v>
      </c>
      <c r="O15" s="2">
        <f>D7/F7</f>
        <v>0.56904500000000002</v>
      </c>
      <c r="P15" s="2">
        <f>J7/L7</f>
        <v>0.92588499999999996</v>
      </c>
      <c r="Q15" s="1" t="str">
        <f>A7</f>
        <v>al</v>
      </c>
    </row>
    <row r="16" spans="1:31" x14ac:dyDescent="0.25">
      <c r="A16" s="14" t="s">
        <v>0</v>
      </c>
      <c r="B16" s="4">
        <v>97055</v>
      </c>
      <c r="C16" s="5"/>
      <c r="D16" s="7">
        <v>902945</v>
      </c>
      <c r="E16" s="8">
        <f t="shared" ref="E16:E21" si="7">D16*G$16/F$16</f>
        <v>54.4475835</v>
      </c>
      <c r="F16" s="10">
        <f t="shared" ref="F16:F21" si="8">B16+D16</f>
        <v>1000000</v>
      </c>
      <c r="G16" s="11">
        <v>60.3</v>
      </c>
      <c r="H16" s="4">
        <v>102525</v>
      </c>
      <c r="I16" s="5"/>
      <c r="J16" s="7">
        <v>897475</v>
      </c>
      <c r="K16" s="8">
        <f t="shared" ref="K16:K22" si="9">J16*M$16/L$16</f>
        <v>24.106178499999999</v>
      </c>
      <c r="L16" s="10">
        <f t="shared" ref="L16:L22" si="10">H16+J16</f>
        <v>1000000</v>
      </c>
      <c r="M16" s="11">
        <v>26.86</v>
      </c>
      <c r="O16" s="2">
        <f>D8/F8</f>
        <v>0.56904500000000002</v>
      </c>
      <c r="P16" s="2">
        <f>J8/L8</f>
        <v>0.9285905114662274</v>
      </c>
      <c r="Q16" s="1" t="str">
        <f t="shared" ref="Q16:Q19" si="11">A8</f>
        <v>gZ</v>
      </c>
    </row>
    <row r="17" spans="1:17" x14ac:dyDescent="0.25">
      <c r="A17" s="14" t="s">
        <v>1</v>
      </c>
      <c r="B17" s="4">
        <v>57323</v>
      </c>
      <c r="C17" s="5"/>
      <c r="D17" s="7">
        <v>806303</v>
      </c>
      <c r="E17" s="8">
        <f t="shared" si="7"/>
        <v>48.620070900000002</v>
      </c>
      <c r="F17" s="10">
        <f t="shared" si="8"/>
        <v>863626</v>
      </c>
      <c r="G17" s="11">
        <f>F17*G$16/F$16</f>
        <v>52.076647799999996</v>
      </c>
      <c r="H17" s="4">
        <v>46173</v>
      </c>
      <c r="I17" s="5"/>
      <c r="J17" s="7">
        <v>738467</v>
      </c>
      <c r="K17" s="8">
        <f t="shared" si="9"/>
        <v>19.835223620000001</v>
      </c>
      <c r="L17" s="10">
        <f t="shared" si="10"/>
        <v>784640</v>
      </c>
      <c r="M17" s="11">
        <f t="shared" ref="M17:M22" si="12">L17*M$16/L$16</f>
        <v>21.075430399999998</v>
      </c>
      <c r="P17" s="2">
        <f t="shared" ref="P17:P19" si="13">J9/L9</f>
        <v>0.58092570754716977</v>
      </c>
      <c r="Q17" s="1" t="str">
        <f t="shared" si="11"/>
        <v>WW</v>
      </c>
    </row>
    <row r="18" spans="1:17" x14ac:dyDescent="0.25">
      <c r="A18" s="14" t="s">
        <v>3</v>
      </c>
      <c r="B18" s="4">
        <v>36170</v>
      </c>
      <c r="C18" s="5"/>
      <c r="D18" s="7">
        <v>88073</v>
      </c>
      <c r="E18" s="8">
        <f t="shared" si="7"/>
        <v>5.3108018999999995</v>
      </c>
      <c r="F18" s="10">
        <f t="shared" si="8"/>
        <v>124243</v>
      </c>
      <c r="G18" s="11">
        <f>F18*G$16/F$16</f>
        <v>7.4918528999999996</v>
      </c>
      <c r="H18" s="4">
        <v>49739</v>
      </c>
      <c r="I18" s="5"/>
      <c r="J18" s="7">
        <v>140943</v>
      </c>
      <c r="K18" s="8">
        <f t="shared" si="9"/>
        <v>3.78572898</v>
      </c>
      <c r="L18" s="10">
        <f t="shared" si="10"/>
        <v>190682</v>
      </c>
      <c r="M18" s="11">
        <f t="shared" si="12"/>
        <v>5.1217185199999999</v>
      </c>
      <c r="P18" s="2">
        <f t="shared" si="13"/>
        <v>0.6625672559569562</v>
      </c>
      <c r="Q18" s="1" t="str">
        <f t="shared" si="11"/>
        <v>ZZ</v>
      </c>
    </row>
    <row r="19" spans="1:17" x14ac:dyDescent="0.25">
      <c r="A19" s="14" t="s">
        <v>2</v>
      </c>
      <c r="B19" s="4">
        <v>3134</v>
      </c>
      <c r="C19" s="5"/>
      <c r="D19" s="7">
        <v>7531</v>
      </c>
      <c r="E19" s="8">
        <f t="shared" si="7"/>
        <v>0.4541193</v>
      </c>
      <c r="F19" s="10">
        <f t="shared" si="8"/>
        <v>10665</v>
      </c>
      <c r="G19" s="11">
        <f>F19*G$16/F$16</f>
        <v>0.64309950000000005</v>
      </c>
      <c r="H19" s="4">
        <v>3892</v>
      </c>
      <c r="I19" s="5"/>
      <c r="J19" s="7">
        <v>11138</v>
      </c>
      <c r="K19" s="8">
        <f t="shared" si="9"/>
        <v>0.29916668000000002</v>
      </c>
      <c r="L19" s="10">
        <f t="shared" si="10"/>
        <v>15030</v>
      </c>
      <c r="M19" s="11">
        <f t="shared" si="12"/>
        <v>0.4037058</v>
      </c>
      <c r="P19" s="2">
        <f t="shared" si="13"/>
        <v>0.5</v>
      </c>
      <c r="Q19" s="1" t="str">
        <f t="shared" si="11"/>
        <v>HW</v>
      </c>
    </row>
    <row r="20" spans="1:17" x14ac:dyDescent="0.25">
      <c r="A20" s="14" t="s">
        <v>6</v>
      </c>
      <c r="B20" s="4">
        <v>15</v>
      </c>
      <c r="C20" s="5"/>
      <c r="D20" s="7">
        <v>44</v>
      </c>
      <c r="E20" s="8">
        <f t="shared" si="7"/>
        <v>2.6531999999999997E-3</v>
      </c>
      <c r="F20" s="10">
        <f t="shared" si="8"/>
        <v>59</v>
      </c>
      <c r="G20" s="11">
        <f>F20*G$16/F$16</f>
        <v>3.5577E-3</v>
      </c>
      <c r="H20" s="4">
        <v>208</v>
      </c>
      <c r="I20" s="5"/>
      <c r="J20" s="7">
        <v>517</v>
      </c>
      <c r="K20" s="8">
        <f t="shared" si="9"/>
        <v>1.3886619999999999E-2</v>
      </c>
      <c r="L20" s="10">
        <f t="shared" si="10"/>
        <v>725</v>
      </c>
      <c r="M20" s="11">
        <f t="shared" si="12"/>
        <v>1.9473500000000001E-2</v>
      </c>
      <c r="O20" s="2">
        <f>D16/F16</f>
        <v>0.902945</v>
      </c>
      <c r="P20" s="2">
        <f>J16/L16</f>
        <v>0.89747500000000002</v>
      </c>
      <c r="Q20" s="1" t="str">
        <f>A16</f>
        <v>al</v>
      </c>
    </row>
    <row r="21" spans="1:17" x14ac:dyDescent="0.25">
      <c r="A21" s="14" t="s">
        <v>5</v>
      </c>
      <c r="B21" s="4">
        <v>413</v>
      </c>
      <c r="C21" s="5"/>
      <c r="D21" s="7">
        <v>994</v>
      </c>
      <c r="E21" s="8">
        <f t="shared" si="7"/>
        <v>5.9938199999999997E-2</v>
      </c>
      <c r="F21" s="10">
        <f t="shared" si="8"/>
        <v>1407</v>
      </c>
      <c r="G21" s="11">
        <f>F21*G$16/F$16</f>
        <v>8.484209999999999E-2</v>
      </c>
      <c r="H21" s="4">
        <v>508</v>
      </c>
      <c r="I21" s="5"/>
      <c r="J21" s="7">
        <v>1601</v>
      </c>
      <c r="K21" s="8">
        <f t="shared" si="9"/>
        <v>4.3002860000000004E-2</v>
      </c>
      <c r="L21" s="10">
        <f t="shared" si="10"/>
        <v>2109</v>
      </c>
      <c r="M21" s="11">
        <f t="shared" si="12"/>
        <v>5.6647739999999995E-2</v>
      </c>
      <c r="O21" s="2">
        <f>D17/F17</f>
        <v>0.93362520350244205</v>
      </c>
      <c r="P21" s="2">
        <f>J17/L17</f>
        <v>0.9411539049755302</v>
      </c>
      <c r="Q21" s="1" t="str">
        <f t="shared" ref="Q21:Q26" si="14">A17</f>
        <v>gZ</v>
      </c>
    </row>
    <row r="22" spans="1:17" x14ac:dyDescent="0.25">
      <c r="A22" s="14" t="s">
        <v>4</v>
      </c>
      <c r="B22" s="15"/>
      <c r="C22" s="16"/>
      <c r="D22" s="15"/>
      <c r="E22" s="16"/>
      <c r="F22" s="15"/>
      <c r="G22" s="16"/>
      <c r="H22" s="4">
        <v>2005</v>
      </c>
      <c r="I22" s="5"/>
      <c r="J22" s="7">
        <v>4809</v>
      </c>
      <c r="K22" s="8">
        <f t="shared" si="9"/>
        <v>0.12916973999999998</v>
      </c>
      <c r="L22" s="10">
        <f t="shared" si="10"/>
        <v>6814</v>
      </c>
      <c r="M22" s="11">
        <f t="shared" si="12"/>
        <v>0.18302404</v>
      </c>
      <c r="O22" s="2">
        <f t="shared" ref="O22:O25" si="15">D18/F18</f>
        <v>0.70887695886287361</v>
      </c>
      <c r="P22" s="2">
        <f t="shared" ref="P22:P25" si="16">J18/L18</f>
        <v>0.73915209616009903</v>
      </c>
      <c r="Q22" s="1" t="str">
        <f t="shared" si="14"/>
        <v>WW</v>
      </c>
    </row>
    <row r="23" spans="1:17" x14ac:dyDescent="0.25">
      <c r="O23" s="2">
        <f t="shared" si="15"/>
        <v>0.70614158462259724</v>
      </c>
      <c r="P23" s="2">
        <f t="shared" si="16"/>
        <v>0.74105123087159019</v>
      </c>
      <c r="Q23" s="1" t="str">
        <f t="shared" si="14"/>
        <v>ZZ</v>
      </c>
    </row>
    <row r="24" spans="1:17" x14ac:dyDescent="0.25">
      <c r="O24" s="2">
        <f t="shared" si="15"/>
        <v>0.74576271186440679</v>
      </c>
      <c r="P24" s="2">
        <f t="shared" si="16"/>
        <v>0.71310344827586203</v>
      </c>
      <c r="Q24" s="1" t="str">
        <f t="shared" si="14"/>
        <v>HW</v>
      </c>
    </row>
    <row r="25" spans="1:17" x14ac:dyDescent="0.25">
      <c r="O25" s="2">
        <f t="shared" si="15"/>
        <v>0.70646766169154229</v>
      </c>
      <c r="P25" s="2">
        <f t="shared" si="16"/>
        <v>0.75912754860123277</v>
      </c>
      <c r="Q25" s="1" t="str">
        <f t="shared" si="14"/>
        <v>HZ</v>
      </c>
    </row>
    <row r="26" spans="1:17" x14ac:dyDescent="0.25">
      <c r="O26" s="2"/>
      <c r="P26" s="2">
        <f>J22/L22</f>
        <v>0.7057528617552099</v>
      </c>
      <c r="Q26" s="1" t="str">
        <f t="shared" si="14"/>
        <v>tt</v>
      </c>
    </row>
    <row r="27" spans="1:17" x14ac:dyDescent="0.25">
      <c r="O27" s="2"/>
      <c r="P27" s="2"/>
    </row>
    <row r="35" spans="13:20" x14ac:dyDescent="0.25">
      <c r="P35" s="1">
        <v>91.2</v>
      </c>
      <c r="Q35" s="1">
        <v>160</v>
      </c>
      <c r="R35" s="1">
        <v>240</v>
      </c>
      <c r="S35" s="1">
        <v>365</v>
      </c>
    </row>
    <row r="36" spans="13:20" x14ac:dyDescent="0.25">
      <c r="O36" s="1">
        <v>100</v>
      </c>
      <c r="P36" s="19"/>
      <c r="Q36" s="19"/>
      <c r="R36" s="19"/>
      <c r="S36" s="19"/>
      <c r="T36" s="17"/>
    </row>
    <row r="37" spans="13:20" x14ac:dyDescent="0.25">
      <c r="O37" s="1">
        <v>95</v>
      </c>
      <c r="P37" s="19"/>
      <c r="Q37" s="19"/>
      <c r="R37" s="19"/>
      <c r="S37" s="19"/>
      <c r="T37" s="17"/>
    </row>
    <row r="38" spans="13:20" x14ac:dyDescent="0.25">
      <c r="O38" s="1">
        <v>90</v>
      </c>
      <c r="P38" s="19"/>
      <c r="Q38" s="19"/>
      <c r="R38" s="19"/>
      <c r="S38" s="19"/>
      <c r="T38" s="17"/>
    </row>
    <row r="39" spans="13:20" x14ac:dyDescent="0.25">
      <c r="O39" s="1">
        <v>85</v>
      </c>
      <c r="P39" s="19"/>
      <c r="Q39" s="19"/>
      <c r="R39" s="19"/>
      <c r="S39" s="19"/>
      <c r="T39" s="17"/>
    </row>
    <row r="45" spans="13:20" x14ac:dyDescent="0.25">
      <c r="M45" s="17"/>
      <c r="N45" s="17"/>
      <c r="O45" s="17"/>
      <c r="P45" s="17"/>
    </row>
  </sheetData>
  <mergeCells count="5">
    <mergeCell ref="B5:G5"/>
    <mergeCell ref="H5:M5"/>
    <mergeCell ref="Z5:AE5"/>
    <mergeCell ref="B14:G14"/>
    <mergeCell ref="H14:M14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8F55F-93F0-4A61-B4C8-B8A5CBE0D442}">
  <dimension ref="A5:AE45"/>
  <sheetViews>
    <sheetView tabSelected="1" zoomScaleNormal="100" workbookViewId="0">
      <selection activeCell="H24" sqref="H24"/>
    </sheetView>
  </sheetViews>
  <sheetFormatPr defaultRowHeight="15" x14ac:dyDescent="0.25"/>
  <cols>
    <col min="1" max="1" width="9.140625" style="1"/>
    <col min="2" max="2" width="9.85546875" style="1" bestFit="1" customWidth="1"/>
    <col min="3" max="3" width="9.140625" style="1"/>
    <col min="4" max="4" width="9.140625" style="1" customWidth="1"/>
    <col min="5" max="5" width="9.140625" style="1" hidden="1" customWidth="1"/>
    <col min="6" max="6" width="11.28515625" style="1" bestFit="1" customWidth="1"/>
    <col min="7" max="7" width="9.140625" style="1"/>
    <col min="8" max="8" width="9.28515625" style="1" bestFit="1" customWidth="1"/>
    <col min="9" max="9" width="9.140625" style="1"/>
    <col min="10" max="10" width="9.85546875" style="1" bestFit="1" customWidth="1"/>
    <col min="11" max="11" width="0" style="1" hidden="1" customWidth="1"/>
    <col min="12" max="12" width="11.28515625" style="1" bestFit="1" customWidth="1"/>
    <col min="13" max="13" width="9.140625" style="1"/>
    <col min="14" max="14" width="9.28515625" style="1" bestFit="1" customWidth="1"/>
    <col min="15" max="15" width="9.140625" style="1"/>
    <col min="16" max="16" width="9.85546875" style="1" bestFit="1" customWidth="1"/>
    <col min="17" max="17" width="9.140625" style="1"/>
    <col min="18" max="18" width="11.28515625" style="1" bestFit="1" customWidth="1"/>
    <col min="19" max="19" width="9.140625" style="1"/>
    <col min="20" max="20" width="9.85546875" style="1" bestFit="1" customWidth="1"/>
    <col min="21" max="21" width="9.140625" style="1"/>
    <col min="22" max="22" width="9.85546875" style="1" bestFit="1" customWidth="1"/>
    <col min="23" max="23" width="9.140625" style="1"/>
    <col min="24" max="25" width="11.28515625" style="1" bestFit="1" customWidth="1"/>
    <col min="26" max="26" width="9.85546875" style="1" bestFit="1" customWidth="1"/>
    <col min="27" max="27" width="9.140625" style="1"/>
    <col min="28" max="28" width="9.85546875" style="1" bestFit="1" customWidth="1"/>
    <col min="29" max="29" width="9.140625" style="1"/>
    <col min="30" max="31" width="11.28515625" style="1" bestFit="1" customWidth="1"/>
    <col min="32" max="16384" width="9.140625" style="1"/>
  </cols>
  <sheetData>
    <row r="5" spans="1:31" x14ac:dyDescent="0.25">
      <c r="A5" s="13" t="s">
        <v>11</v>
      </c>
      <c r="B5" s="23">
        <v>91.2</v>
      </c>
      <c r="C5" s="23"/>
      <c r="D5" s="23"/>
      <c r="E5" s="23"/>
      <c r="F5" s="23"/>
      <c r="G5" s="23"/>
      <c r="H5" s="23">
        <v>160</v>
      </c>
      <c r="I5" s="23"/>
      <c r="J5" s="23"/>
      <c r="K5" s="23"/>
      <c r="L5" s="23"/>
      <c r="M5" s="23"/>
      <c r="Z5" s="23">
        <v>500</v>
      </c>
      <c r="AA5" s="23"/>
      <c r="AB5" s="23"/>
      <c r="AC5" s="23"/>
      <c r="AD5" s="23"/>
      <c r="AE5" s="23"/>
    </row>
    <row r="6" spans="1:31" x14ac:dyDescent="0.25">
      <c r="A6" s="13" t="s">
        <v>10</v>
      </c>
      <c r="B6" s="3" t="s">
        <v>8</v>
      </c>
      <c r="C6" s="3" t="s">
        <v>12</v>
      </c>
      <c r="D6" s="6" t="s">
        <v>9</v>
      </c>
      <c r="E6" s="6" t="s">
        <v>12</v>
      </c>
      <c r="F6" s="9" t="s">
        <v>14</v>
      </c>
      <c r="G6" s="9" t="s">
        <v>12</v>
      </c>
      <c r="H6" s="3" t="s">
        <v>8</v>
      </c>
      <c r="I6" s="3" t="s">
        <v>13</v>
      </c>
      <c r="J6" s="6" t="s">
        <v>9</v>
      </c>
      <c r="K6" s="6" t="s">
        <v>13</v>
      </c>
      <c r="L6" s="9" t="s">
        <v>14</v>
      </c>
      <c r="M6" s="9" t="s">
        <v>13</v>
      </c>
      <c r="Z6" s="3" t="s">
        <v>8</v>
      </c>
      <c r="AA6" s="3" t="s">
        <v>13</v>
      </c>
      <c r="AB6" s="6" t="s">
        <v>9</v>
      </c>
      <c r="AC6" s="6" t="s">
        <v>13</v>
      </c>
      <c r="AD6" s="9" t="s">
        <v>7</v>
      </c>
      <c r="AE6" s="9" t="s">
        <v>13</v>
      </c>
    </row>
    <row r="7" spans="1:31" x14ac:dyDescent="0.25">
      <c r="A7" s="14" t="s">
        <v>0</v>
      </c>
      <c r="B7" s="4"/>
      <c r="C7" s="5"/>
      <c r="D7" s="7"/>
      <c r="E7" s="8" t="e">
        <f>D7*G7/F7</f>
        <v>#DIV/0!</v>
      </c>
      <c r="F7" s="10">
        <f>B7+D7</f>
        <v>0</v>
      </c>
      <c r="G7" s="11">
        <v>30.39</v>
      </c>
      <c r="H7" s="4"/>
      <c r="I7" s="5"/>
      <c r="J7" s="7"/>
      <c r="K7" s="8" t="e">
        <f>J7*M$7/L$7</f>
        <v>#DIV/0!</v>
      </c>
      <c r="L7" s="10">
        <f>H7+J7</f>
        <v>0</v>
      </c>
      <c r="M7" s="11">
        <v>152.4</v>
      </c>
      <c r="Z7" s="4">
        <v>105018</v>
      </c>
      <c r="AA7" s="5">
        <f>Z7*AE$7/AD$7</f>
        <v>1.6120263000000001</v>
      </c>
      <c r="AB7" s="7">
        <v>894982</v>
      </c>
      <c r="AC7" s="8">
        <f>AB7*AE$7/AD$7</f>
        <v>13.7379737</v>
      </c>
      <c r="AD7" s="10">
        <f t="shared" ref="AD7:AD13" si="0">Z7+AB7</f>
        <v>1000000</v>
      </c>
      <c r="AE7" s="11">
        <v>15.35</v>
      </c>
    </row>
    <row r="8" spans="1:31" x14ac:dyDescent="0.25">
      <c r="A8" s="14" t="s">
        <v>1</v>
      </c>
      <c r="B8" s="4"/>
      <c r="C8" s="5"/>
      <c r="D8" s="7"/>
      <c r="E8" s="8" t="e">
        <f t="shared" ref="E8" si="1">D8*G8/F8</f>
        <v>#DIV/0!</v>
      </c>
      <c r="F8" s="10">
        <f>B8+D8</f>
        <v>0</v>
      </c>
      <c r="G8" s="11" t="e">
        <f>F8*G7/F7</f>
        <v>#DIV/0!</v>
      </c>
      <c r="H8" s="4"/>
      <c r="I8" s="5"/>
      <c r="J8" s="7"/>
      <c r="K8" s="8" t="e">
        <f t="shared" ref="K8:K11" si="2">J8*M$7/L$7</f>
        <v>#DIV/0!</v>
      </c>
      <c r="L8" s="10">
        <f>H8+J8</f>
        <v>0</v>
      </c>
      <c r="M8" s="11" t="e">
        <f>L8*M$7/L$7</f>
        <v>#DIV/0!</v>
      </c>
      <c r="O8" s="17"/>
      <c r="Z8" s="4">
        <v>39617</v>
      </c>
      <c r="AA8" s="5">
        <f t="shared" ref="AA8:AA11" si="3">Z8*AE$7/AD$7</f>
        <v>0.60812094999999999</v>
      </c>
      <c r="AB8" s="7">
        <v>687761</v>
      </c>
      <c r="AC8" s="8">
        <f t="shared" ref="AC8:AC11" si="4">AB8*AE$7/AD$7</f>
        <v>10.557131349999999</v>
      </c>
      <c r="AD8" s="10">
        <f t="shared" si="0"/>
        <v>727378</v>
      </c>
      <c r="AE8" s="12">
        <f>AD8*AE$7/AD$7</f>
        <v>11.165252299999999</v>
      </c>
    </row>
    <row r="9" spans="1:31" x14ac:dyDescent="0.25">
      <c r="A9" s="14" t="s">
        <v>3</v>
      </c>
      <c r="B9" s="15"/>
      <c r="C9" s="16"/>
      <c r="D9" s="15"/>
      <c r="E9" s="16"/>
      <c r="F9" s="15"/>
      <c r="G9" s="16"/>
      <c r="H9" s="4"/>
      <c r="I9" s="5"/>
      <c r="J9" s="7"/>
      <c r="K9" s="8" t="e">
        <f>J9*M$7/L$7</f>
        <v>#DIV/0!</v>
      </c>
      <c r="L9" s="10">
        <f>H9+J9</f>
        <v>0</v>
      </c>
      <c r="M9" s="11" t="e">
        <f>L9*M$7/L$7</f>
        <v>#DIV/0!</v>
      </c>
      <c r="Z9" s="4">
        <v>56185</v>
      </c>
      <c r="AA9" s="5">
        <f>Z9*AE$7/AD$7</f>
        <v>0.86243974999999995</v>
      </c>
      <c r="AB9" s="7">
        <v>176832</v>
      </c>
      <c r="AC9" s="8">
        <f>AB9*AE$7/AD$7</f>
        <v>2.7143711999999995</v>
      </c>
      <c r="AD9" s="10">
        <f t="shared" si="0"/>
        <v>233017</v>
      </c>
      <c r="AE9" s="12">
        <f>AD9*AE$7/AD$7</f>
        <v>3.5768109499999996</v>
      </c>
    </row>
    <row r="10" spans="1:31" x14ac:dyDescent="0.25">
      <c r="A10" s="14" t="s">
        <v>2</v>
      </c>
      <c r="B10" s="15"/>
      <c r="C10" s="16"/>
      <c r="D10" s="15"/>
      <c r="E10" s="16"/>
      <c r="F10" s="15"/>
      <c r="G10" s="16"/>
      <c r="H10" s="4"/>
      <c r="I10" s="5"/>
      <c r="J10" s="7"/>
      <c r="K10" s="8" t="e">
        <f t="shared" si="2"/>
        <v>#DIV/0!</v>
      </c>
      <c r="L10" s="10">
        <f>H10+J10</f>
        <v>0</v>
      </c>
      <c r="M10" s="11" t="e">
        <f t="shared" ref="M10:M11" si="5">L10*M$7/L$7</f>
        <v>#DIV/0!</v>
      </c>
      <c r="O10" s="17"/>
      <c r="Z10" s="4">
        <v>4226</v>
      </c>
      <c r="AA10" s="5">
        <f t="shared" si="3"/>
        <v>6.4869099999999999E-2</v>
      </c>
      <c r="AB10" s="7">
        <v>13361</v>
      </c>
      <c r="AC10" s="8">
        <f t="shared" si="4"/>
        <v>0.20509135000000001</v>
      </c>
      <c r="AD10" s="10">
        <f t="shared" si="0"/>
        <v>17587</v>
      </c>
      <c r="AE10" s="12">
        <f t="shared" ref="AE10:AE11" si="6">AD10*AE$7/AD$7</f>
        <v>0.26996045000000002</v>
      </c>
    </row>
    <row r="11" spans="1:31" x14ac:dyDescent="0.25">
      <c r="A11" s="14" t="s">
        <v>6</v>
      </c>
      <c r="B11" s="15"/>
      <c r="C11" s="16"/>
      <c r="D11" s="15"/>
      <c r="E11" s="16"/>
      <c r="F11" s="15"/>
      <c r="G11" s="16"/>
      <c r="H11" s="4"/>
      <c r="I11" s="5"/>
      <c r="J11" s="7"/>
      <c r="K11" s="8" t="e">
        <f t="shared" si="2"/>
        <v>#DIV/0!</v>
      </c>
      <c r="L11" s="10">
        <f>H11+J11</f>
        <v>0</v>
      </c>
      <c r="M11" s="11" t="e">
        <f t="shared" si="5"/>
        <v>#DIV/0!</v>
      </c>
      <c r="Z11" s="4">
        <v>752</v>
      </c>
      <c r="AA11" s="5">
        <f t="shared" si="3"/>
        <v>1.1543199999999998E-2</v>
      </c>
      <c r="AB11" s="7">
        <v>2005</v>
      </c>
      <c r="AC11" s="8">
        <f t="shared" si="4"/>
        <v>3.0776749999999999E-2</v>
      </c>
      <c r="AD11" s="10">
        <f t="shared" si="0"/>
        <v>2757</v>
      </c>
      <c r="AE11" s="12">
        <f t="shared" si="6"/>
        <v>4.2319949999999995E-2</v>
      </c>
    </row>
    <row r="12" spans="1:31" x14ac:dyDescent="0.25">
      <c r="A12" s="14" t="s">
        <v>5</v>
      </c>
      <c r="B12" s="15"/>
      <c r="C12" s="16"/>
      <c r="D12" s="15"/>
      <c r="E12" s="16"/>
      <c r="F12" s="15"/>
      <c r="G12" s="16"/>
      <c r="H12" s="15"/>
      <c r="I12" s="16"/>
      <c r="J12" s="15"/>
      <c r="K12" s="16"/>
      <c r="L12" s="15"/>
      <c r="M12" s="16"/>
      <c r="Z12" s="4">
        <v>395</v>
      </c>
      <c r="AA12" s="5">
        <f>Z12*AE$7/AD$7</f>
        <v>6.0632500000000001E-3</v>
      </c>
      <c r="AB12" s="7">
        <v>1516</v>
      </c>
      <c r="AC12" s="8">
        <f>AB12*AE$7/AD$7</f>
        <v>2.3270599999999999E-2</v>
      </c>
      <c r="AD12" s="10">
        <f t="shared" si="0"/>
        <v>1911</v>
      </c>
      <c r="AE12" s="12">
        <f>AD12*AE$7/AD$7</f>
        <v>2.9333849999999998E-2</v>
      </c>
    </row>
    <row r="13" spans="1:31" x14ac:dyDescent="0.25">
      <c r="A13" s="14" t="s">
        <v>4</v>
      </c>
      <c r="B13" s="15"/>
      <c r="C13" s="16"/>
      <c r="D13" s="15"/>
      <c r="E13" s="16"/>
      <c r="F13" s="15"/>
      <c r="G13" s="16"/>
      <c r="H13" s="15"/>
      <c r="I13" s="16"/>
      <c r="J13" s="15"/>
      <c r="K13" s="16"/>
      <c r="L13" s="15"/>
      <c r="M13" s="16"/>
      <c r="Z13" s="4">
        <v>3843</v>
      </c>
      <c r="AA13" s="5">
        <f>Z13*AE$7/AD$7</f>
        <v>5.8990049999999995E-2</v>
      </c>
      <c r="AB13" s="7">
        <v>13507</v>
      </c>
      <c r="AC13" s="8">
        <f>AB13*AE$7/AD$7</f>
        <v>0.20733244999999997</v>
      </c>
      <c r="AD13" s="10">
        <f t="shared" si="0"/>
        <v>17350</v>
      </c>
      <c r="AE13" s="12">
        <f>AD13*AE$7/AD$7</f>
        <v>0.26632250000000002</v>
      </c>
    </row>
    <row r="14" spans="1:31" x14ac:dyDescent="0.25">
      <c r="A14" s="13" t="s">
        <v>11</v>
      </c>
      <c r="B14" s="23">
        <v>240</v>
      </c>
      <c r="C14" s="23"/>
      <c r="D14" s="23"/>
      <c r="E14" s="23"/>
      <c r="F14" s="23"/>
      <c r="G14" s="23"/>
      <c r="H14" s="23">
        <v>365</v>
      </c>
      <c r="I14" s="23"/>
      <c r="J14" s="23"/>
      <c r="K14" s="23"/>
      <c r="L14" s="23"/>
      <c r="M14" s="23"/>
      <c r="Y14" s="2"/>
    </row>
    <row r="15" spans="1:31" x14ac:dyDescent="0.25">
      <c r="A15" s="13" t="s">
        <v>10</v>
      </c>
      <c r="B15" s="3" t="s">
        <v>8</v>
      </c>
      <c r="C15" s="3" t="s">
        <v>13</v>
      </c>
      <c r="D15" s="6" t="s">
        <v>9</v>
      </c>
      <c r="E15" s="6" t="s">
        <v>13</v>
      </c>
      <c r="F15" s="9" t="s">
        <v>14</v>
      </c>
      <c r="G15" s="9" t="s">
        <v>13</v>
      </c>
      <c r="H15" s="3" t="s">
        <v>8</v>
      </c>
      <c r="I15" s="3" t="s">
        <v>13</v>
      </c>
      <c r="J15" s="6" t="s">
        <v>9</v>
      </c>
      <c r="K15" s="6" t="s">
        <v>13</v>
      </c>
      <c r="L15" s="9" t="s">
        <v>14</v>
      </c>
      <c r="M15" s="9" t="s">
        <v>13</v>
      </c>
      <c r="O15" s="2" t="e">
        <f>D7/F7</f>
        <v>#DIV/0!</v>
      </c>
      <c r="P15" s="2" t="e">
        <f>J7/L7</f>
        <v>#DIV/0!</v>
      </c>
      <c r="Q15" s="1" t="str">
        <f>A7</f>
        <v>al</v>
      </c>
    </row>
    <row r="16" spans="1:31" x14ac:dyDescent="0.25">
      <c r="A16" s="14" t="s">
        <v>0</v>
      </c>
      <c r="B16" s="4"/>
      <c r="C16" s="5"/>
      <c r="D16" s="7"/>
      <c r="E16" s="8" t="e">
        <f t="shared" ref="E16:E21" si="7">D16*G$16/F$16</f>
        <v>#DIV/0!</v>
      </c>
      <c r="F16" s="10">
        <f t="shared" ref="F16:F21" si="8">B16+D16</f>
        <v>0</v>
      </c>
      <c r="G16" s="11">
        <v>60.3</v>
      </c>
      <c r="H16" s="4">
        <v>512726</v>
      </c>
      <c r="I16" s="5"/>
      <c r="J16" s="7">
        <v>4487274</v>
      </c>
      <c r="K16" s="8">
        <f t="shared" ref="K16:K22" si="9">J16*M$16/L$16</f>
        <v>24.105635928000002</v>
      </c>
      <c r="L16" s="10">
        <f>H16+J16</f>
        <v>5000000</v>
      </c>
      <c r="M16" s="11">
        <v>26.86</v>
      </c>
      <c r="O16" s="2" t="e">
        <f>D8/F8</f>
        <v>#DIV/0!</v>
      </c>
      <c r="P16" s="2" t="e">
        <f>J8/L8</f>
        <v>#DIV/0!</v>
      </c>
      <c r="Q16" s="1" t="str">
        <f t="shared" ref="Q16:Q19" si="10">A8</f>
        <v>gZ</v>
      </c>
    </row>
    <row r="17" spans="1:17" x14ac:dyDescent="0.25">
      <c r="A17" s="14" t="s">
        <v>1</v>
      </c>
      <c r="B17" s="4"/>
      <c r="C17" s="5"/>
      <c r="D17" s="7"/>
      <c r="E17" s="8" t="e">
        <f t="shared" si="7"/>
        <v>#DIV/0!</v>
      </c>
      <c r="F17" s="10">
        <f t="shared" si="8"/>
        <v>0</v>
      </c>
      <c r="G17" s="11" t="e">
        <f>F17*G$16/F$16</f>
        <v>#DIV/0!</v>
      </c>
      <c r="H17" s="4">
        <v>232904</v>
      </c>
      <c r="I17" s="5"/>
      <c r="J17" s="7">
        <v>3692990</v>
      </c>
      <c r="K17" s="8">
        <f t="shared" si="9"/>
        <v>19.838742279999998</v>
      </c>
      <c r="L17" s="10">
        <f t="shared" ref="L16:L22" si="11">H17+J17</f>
        <v>3925894</v>
      </c>
      <c r="M17" s="11">
        <f t="shared" ref="M17:M22" si="12">L17*M$16/L$16</f>
        <v>21.089902567999999</v>
      </c>
      <c r="P17" s="2" t="e">
        <f t="shared" ref="P17:P19" si="13">J9/L9</f>
        <v>#DIV/0!</v>
      </c>
      <c r="Q17" s="1" t="str">
        <f t="shared" si="10"/>
        <v>WW</v>
      </c>
    </row>
    <row r="18" spans="1:17" x14ac:dyDescent="0.25">
      <c r="A18" s="14" t="s">
        <v>3</v>
      </c>
      <c r="B18" s="4"/>
      <c r="C18" s="5"/>
      <c r="D18" s="7"/>
      <c r="E18" s="8" t="e">
        <f t="shared" si="7"/>
        <v>#DIV/0!</v>
      </c>
      <c r="F18" s="10">
        <f t="shared" si="8"/>
        <v>0</v>
      </c>
      <c r="G18" s="11" t="e">
        <f>F18*G$16/F$16</f>
        <v>#DIV/0!</v>
      </c>
      <c r="H18" s="4">
        <v>247158</v>
      </c>
      <c r="I18" s="5"/>
      <c r="J18" s="7">
        <v>704657</v>
      </c>
      <c r="K18" s="8">
        <f t="shared" si="9"/>
        <v>3.7854174039999999</v>
      </c>
      <c r="L18" s="10">
        <f t="shared" si="11"/>
        <v>951815</v>
      </c>
      <c r="M18" s="11">
        <f t="shared" si="12"/>
        <v>5.1131501799999999</v>
      </c>
      <c r="P18" s="2" t="e">
        <f t="shared" si="13"/>
        <v>#DIV/0!</v>
      </c>
      <c r="Q18" s="1" t="str">
        <f t="shared" si="10"/>
        <v>ZZ</v>
      </c>
    </row>
    <row r="19" spans="1:17" x14ac:dyDescent="0.25">
      <c r="A19" s="14" t="s">
        <v>2</v>
      </c>
      <c r="B19" s="4"/>
      <c r="C19" s="5"/>
      <c r="D19" s="7"/>
      <c r="E19" s="8" t="e">
        <f t="shared" si="7"/>
        <v>#DIV/0!</v>
      </c>
      <c r="F19" s="10">
        <f t="shared" si="8"/>
        <v>0</v>
      </c>
      <c r="G19" s="11" t="e">
        <f>F19*G$16/F$16</f>
        <v>#DIV/0!</v>
      </c>
      <c r="H19" s="4">
        <v>19041</v>
      </c>
      <c r="I19" s="5"/>
      <c r="J19" s="7">
        <v>55485</v>
      </c>
      <c r="K19" s="8">
        <f t="shared" si="9"/>
        <v>0.29806541999999997</v>
      </c>
      <c r="L19" s="10">
        <f t="shared" si="11"/>
        <v>74526</v>
      </c>
      <c r="M19" s="11">
        <f t="shared" si="12"/>
        <v>0.40035367199999999</v>
      </c>
      <c r="P19" s="2" t="e">
        <f t="shared" si="13"/>
        <v>#DIV/0!</v>
      </c>
      <c r="Q19" s="1" t="str">
        <f t="shared" si="10"/>
        <v>HW</v>
      </c>
    </row>
    <row r="20" spans="1:17" x14ac:dyDescent="0.25">
      <c r="A20" s="14" t="s">
        <v>6</v>
      </c>
      <c r="B20" s="4"/>
      <c r="C20" s="5"/>
      <c r="D20" s="7"/>
      <c r="E20" s="8" t="e">
        <f t="shared" si="7"/>
        <v>#DIV/0!</v>
      </c>
      <c r="F20" s="10">
        <f t="shared" si="8"/>
        <v>0</v>
      </c>
      <c r="G20" s="11" t="e">
        <f>F20*G$16/F$16</f>
        <v>#DIV/0!</v>
      </c>
      <c r="H20" s="4">
        <v>1059</v>
      </c>
      <c r="I20" s="5"/>
      <c r="J20" s="7">
        <v>2566</v>
      </c>
      <c r="K20" s="8">
        <f t="shared" si="9"/>
        <v>1.3784551999999999E-2</v>
      </c>
      <c r="L20" s="10">
        <f t="shared" si="11"/>
        <v>3625</v>
      </c>
      <c r="M20" s="11">
        <f t="shared" si="12"/>
        <v>1.9473500000000001E-2</v>
      </c>
      <c r="O20" s="2" t="e">
        <f>D16/F16</f>
        <v>#DIV/0!</v>
      </c>
      <c r="P20" s="2">
        <f>J16/L16</f>
        <v>0.8974548</v>
      </c>
      <c r="Q20" s="1" t="str">
        <f>A16</f>
        <v>al</v>
      </c>
    </row>
    <row r="21" spans="1:17" x14ac:dyDescent="0.25">
      <c r="A21" s="14" t="s">
        <v>5</v>
      </c>
      <c r="B21" s="4"/>
      <c r="C21" s="5"/>
      <c r="D21" s="7"/>
      <c r="E21" s="8" t="e">
        <f t="shared" si="7"/>
        <v>#DIV/0!</v>
      </c>
      <c r="F21" s="10">
        <f t="shared" si="8"/>
        <v>0</v>
      </c>
      <c r="G21" s="11" t="e">
        <f>F21*G$16/F$16</f>
        <v>#DIV/0!</v>
      </c>
      <c r="H21" s="4">
        <v>2269</v>
      </c>
      <c r="I21" s="5"/>
      <c r="J21" s="7">
        <v>7905</v>
      </c>
      <c r="K21" s="8">
        <f t="shared" si="9"/>
        <v>4.2465659999999995E-2</v>
      </c>
      <c r="L21" s="10">
        <f t="shared" si="11"/>
        <v>10174</v>
      </c>
      <c r="M21" s="11">
        <f t="shared" si="12"/>
        <v>5.4654728E-2</v>
      </c>
      <c r="O21" s="2" t="e">
        <f>D17/F17</f>
        <v>#DIV/0!</v>
      </c>
      <c r="P21" s="2">
        <f>J17/L17</f>
        <v>0.94067491379033663</v>
      </c>
      <c r="Q21" s="1" t="str">
        <f t="shared" ref="Q21:Q26" si="14">A17</f>
        <v>gZ</v>
      </c>
    </row>
    <row r="22" spans="1:17" x14ac:dyDescent="0.25">
      <c r="A22" s="14" t="s">
        <v>4</v>
      </c>
      <c r="B22" s="15"/>
      <c r="C22" s="16"/>
      <c r="D22" s="15"/>
      <c r="E22" s="16"/>
      <c r="F22" s="15"/>
      <c r="G22" s="16"/>
      <c r="H22" s="4">
        <v>10295</v>
      </c>
      <c r="I22" s="5"/>
      <c r="J22" s="7">
        <v>23671</v>
      </c>
      <c r="K22" s="8">
        <f t="shared" si="9"/>
        <v>0.12716061199999998</v>
      </c>
      <c r="L22" s="10">
        <f t="shared" si="11"/>
        <v>33966</v>
      </c>
      <c r="M22" s="11">
        <f t="shared" si="12"/>
        <v>0.182465352</v>
      </c>
      <c r="O22" s="2" t="e">
        <f t="shared" ref="O22:O25" si="15">D18/F18</f>
        <v>#DIV/0!</v>
      </c>
      <c r="P22" s="2">
        <f t="shared" ref="P22:P25" si="16">J18/L18</f>
        <v>0.74032979097828888</v>
      </c>
      <c r="Q22" s="1" t="str">
        <f t="shared" si="14"/>
        <v>WW</v>
      </c>
    </row>
    <row r="23" spans="1:17" x14ac:dyDescent="0.25">
      <c r="O23" s="2" t="e">
        <f t="shared" si="15"/>
        <v>#DIV/0!</v>
      </c>
      <c r="P23" s="2">
        <f t="shared" si="16"/>
        <v>0.74450527332742933</v>
      </c>
      <c r="Q23" s="1" t="str">
        <f t="shared" si="14"/>
        <v>ZZ</v>
      </c>
    </row>
    <row r="24" spans="1:17" x14ac:dyDescent="0.25">
      <c r="O24" s="2" t="e">
        <f t="shared" si="15"/>
        <v>#DIV/0!</v>
      </c>
      <c r="P24" s="2">
        <f t="shared" si="16"/>
        <v>0.70786206896551729</v>
      </c>
      <c r="Q24" s="1" t="str">
        <f t="shared" si="14"/>
        <v>HW</v>
      </c>
    </row>
    <row r="25" spans="1:17" x14ac:dyDescent="0.25">
      <c r="O25" s="2" t="e">
        <f t="shared" si="15"/>
        <v>#DIV/0!</v>
      </c>
      <c r="P25" s="2">
        <f t="shared" si="16"/>
        <v>0.77698053862787497</v>
      </c>
      <c r="Q25" s="1" t="str">
        <f t="shared" si="14"/>
        <v>HZ</v>
      </c>
    </row>
    <row r="26" spans="1:17" x14ac:dyDescent="0.25">
      <c r="O26" s="2"/>
      <c r="P26" s="2">
        <f>J22/L22</f>
        <v>0.69690278513807924</v>
      </c>
      <c r="Q26" s="1" t="str">
        <f t="shared" si="14"/>
        <v>tt</v>
      </c>
    </row>
    <row r="27" spans="1:17" x14ac:dyDescent="0.25">
      <c r="O27" s="2"/>
      <c r="P27" s="2"/>
    </row>
    <row r="35" spans="13:20" x14ac:dyDescent="0.25">
      <c r="P35" s="1">
        <v>91.2</v>
      </c>
      <c r="Q35" s="1">
        <v>160</v>
      </c>
      <c r="R35" s="1">
        <v>240</v>
      </c>
      <c r="S35" s="1">
        <v>365</v>
      </c>
    </row>
    <row r="36" spans="13:20" x14ac:dyDescent="0.25">
      <c r="O36" s="1">
        <v>100</v>
      </c>
      <c r="P36" s="19"/>
      <c r="Q36" s="19"/>
      <c r="R36" s="19"/>
      <c r="S36" s="19"/>
      <c r="T36" s="17"/>
    </row>
    <row r="37" spans="13:20" x14ac:dyDescent="0.25">
      <c r="O37" s="1">
        <v>95</v>
      </c>
      <c r="P37" s="19"/>
      <c r="Q37" s="19"/>
      <c r="R37" s="19"/>
      <c r="S37" s="19"/>
      <c r="T37" s="17"/>
    </row>
    <row r="38" spans="13:20" x14ac:dyDescent="0.25">
      <c r="O38" s="1">
        <v>90</v>
      </c>
      <c r="P38" s="19"/>
      <c r="Q38" s="19"/>
      <c r="R38" s="19"/>
      <c r="S38" s="19"/>
      <c r="T38" s="17"/>
    </row>
    <row r="39" spans="13:20" x14ac:dyDescent="0.25">
      <c r="O39" s="1">
        <v>85</v>
      </c>
      <c r="P39" s="19"/>
      <c r="Q39" s="19"/>
      <c r="R39" s="19"/>
      <c r="S39" s="19"/>
      <c r="T39" s="17"/>
    </row>
    <row r="45" spans="13:20" x14ac:dyDescent="0.25">
      <c r="M45" s="17"/>
      <c r="N45" s="17"/>
      <c r="O45" s="17"/>
      <c r="P45" s="17"/>
    </row>
  </sheetData>
  <mergeCells count="5">
    <mergeCell ref="B5:G5"/>
    <mergeCell ref="H5:M5"/>
    <mergeCell ref="B14:G14"/>
    <mergeCell ref="H14:M14"/>
    <mergeCell ref="Z5:AE5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27B4D-21E7-42EF-8EC8-F56129B85988}">
  <dimension ref="A2:N41"/>
  <sheetViews>
    <sheetView zoomScale="160" zoomScaleNormal="160" workbookViewId="0">
      <selection activeCell="H14" sqref="H14"/>
    </sheetView>
  </sheetViews>
  <sheetFormatPr defaultRowHeight="15" x14ac:dyDescent="0.25"/>
  <cols>
    <col min="1" max="1" width="9.140625" style="1"/>
    <col min="2" max="2" width="9.140625" style="1" hidden="1" customWidth="1"/>
    <col min="3" max="3" width="11.28515625" style="1" bestFit="1" customWidth="1"/>
    <col min="4" max="4" width="0" style="1" hidden="1" customWidth="1"/>
    <col min="5" max="5" width="11.28515625" style="1" bestFit="1" customWidth="1"/>
    <col min="6" max="6" width="9.85546875" style="1" bestFit="1" customWidth="1"/>
    <col min="7" max="7" width="11.28515625" style="1" bestFit="1" customWidth="1"/>
    <col min="8" max="8" width="9.140625" style="1"/>
    <col min="9" max="9" width="9.85546875" style="1" bestFit="1" customWidth="1"/>
    <col min="10" max="10" width="9.140625" style="1"/>
    <col min="11" max="11" width="9.85546875" style="1" bestFit="1" customWidth="1"/>
    <col min="12" max="12" width="9.140625" style="1"/>
    <col min="13" max="14" width="11.28515625" style="1" bestFit="1" customWidth="1"/>
    <col min="15" max="16384" width="9.140625" style="1"/>
  </cols>
  <sheetData>
    <row r="2" spans="1:14" x14ac:dyDescent="0.25">
      <c r="A2" s="13" t="s">
        <v>11</v>
      </c>
      <c r="B2" s="23">
        <v>91.2</v>
      </c>
      <c r="C2" s="23"/>
      <c r="D2" s="23">
        <v>160</v>
      </c>
      <c r="E2" s="23"/>
      <c r="F2" s="18">
        <v>240</v>
      </c>
      <c r="G2" s="18">
        <v>365</v>
      </c>
    </row>
    <row r="3" spans="1:14" x14ac:dyDescent="0.25">
      <c r="A3" s="14" t="s">
        <v>0</v>
      </c>
      <c r="B3" s="8" t="e">
        <f>#REF!*#REF!/C3</f>
        <v>#REF!</v>
      </c>
      <c r="C3" s="20">
        <v>5000000</v>
      </c>
      <c r="D3" s="21" t="e">
        <f>#REF!*#REF!/E$3</f>
        <v>#REF!</v>
      </c>
      <c r="E3" s="20">
        <v>5000000</v>
      </c>
      <c r="F3" s="20">
        <v>5000000</v>
      </c>
      <c r="G3" s="20">
        <v>5000000</v>
      </c>
    </row>
    <row r="4" spans="1:14" x14ac:dyDescent="0.25">
      <c r="A4" s="14" t="s">
        <v>1</v>
      </c>
      <c r="B4" s="8" t="e">
        <f>#REF!*#REF!/C4</f>
        <v>#REF!</v>
      </c>
      <c r="C4" s="20">
        <v>5000000</v>
      </c>
      <c r="D4" s="21" t="e">
        <f>#REF!*#REF!/E$3</f>
        <v>#REF!</v>
      </c>
      <c r="E4" s="20">
        <v>4799181</v>
      </c>
      <c r="F4" s="20">
        <v>3068124</v>
      </c>
      <c r="G4" s="20">
        <v>2435489</v>
      </c>
    </row>
    <row r="5" spans="1:14" x14ac:dyDescent="0.25">
      <c r="A5" s="14" t="s">
        <v>3</v>
      </c>
      <c r="B5" s="16"/>
      <c r="C5" s="15"/>
      <c r="D5" s="8" t="e">
        <f>#REF!*#REF!/E$3</f>
        <v>#REF!</v>
      </c>
      <c r="E5" s="20">
        <v>176856</v>
      </c>
      <c r="F5" s="20">
        <v>1758070</v>
      </c>
      <c r="G5" s="20">
        <v>2248478</v>
      </c>
    </row>
    <row r="6" spans="1:14" x14ac:dyDescent="0.25">
      <c r="A6" s="14" t="s">
        <v>2</v>
      </c>
      <c r="B6" s="16"/>
      <c r="C6" s="15"/>
      <c r="D6" s="8" t="e">
        <f>#REF!*#REF!/E$3</f>
        <v>#REF!</v>
      </c>
      <c r="E6" s="20">
        <v>23954</v>
      </c>
      <c r="F6" s="20">
        <v>149779</v>
      </c>
      <c r="G6" s="20">
        <v>174812</v>
      </c>
    </row>
    <row r="7" spans="1:14" x14ac:dyDescent="0.25">
      <c r="A7" s="14" t="s">
        <v>6</v>
      </c>
      <c r="B7" s="16"/>
      <c r="C7" s="15"/>
      <c r="D7" s="8" t="e">
        <f>#REF!*#REF!/E$3</f>
        <v>#REF!</v>
      </c>
      <c r="E7" s="20">
        <v>9</v>
      </c>
      <c r="F7" s="20">
        <v>1034</v>
      </c>
      <c r="G7" s="20">
        <v>10052</v>
      </c>
    </row>
    <row r="8" spans="1:14" x14ac:dyDescent="0.25">
      <c r="A8" s="14" t="s">
        <v>5</v>
      </c>
      <c r="B8" s="16"/>
      <c r="C8" s="15"/>
      <c r="D8" s="16"/>
      <c r="E8" s="15"/>
      <c r="F8" s="20">
        <v>22993</v>
      </c>
      <c r="G8" s="20">
        <v>23717</v>
      </c>
    </row>
    <row r="9" spans="1:14" x14ac:dyDescent="0.25">
      <c r="A9" s="14" t="s">
        <v>4</v>
      </c>
      <c r="B9" s="16"/>
      <c r="C9" s="15"/>
      <c r="D9" s="16"/>
      <c r="E9" s="15"/>
      <c r="F9" s="15"/>
      <c r="G9" s="20">
        <v>107452</v>
      </c>
    </row>
    <row r="10" spans="1:14" x14ac:dyDescent="0.25">
      <c r="C10" s="22">
        <f>SUM(C4:C9)</f>
        <v>5000000</v>
      </c>
      <c r="D10" s="22" t="e">
        <f t="shared" ref="D10:G10" si="0">SUM(D4:D9)</f>
        <v>#REF!</v>
      </c>
      <c r="E10" s="22">
        <f t="shared" si="0"/>
        <v>5000000</v>
      </c>
      <c r="F10" s="22">
        <f t="shared" si="0"/>
        <v>5000000</v>
      </c>
      <c r="G10" s="22">
        <f t="shared" si="0"/>
        <v>5000000</v>
      </c>
      <c r="N10" s="2"/>
    </row>
    <row r="11" spans="1:14" x14ac:dyDescent="0.25">
      <c r="C11" s="22">
        <f>SUM(C5:C9)</f>
        <v>0</v>
      </c>
      <c r="D11" s="22" t="e">
        <f t="shared" ref="D11:G11" si="1">SUM(D5:D9)</f>
        <v>#REF!</v>
      </c>
      <c r="E11" s="22">
        <f t="shared" si="1"/>
        <v>200819</v>
      </c>
      <c r="F11" s="22">
        <f t="shared" si="1"/>
        <v>1931876</v>
      </c>
      <c r="G11" s="22">
        <f t="shared" si="1"/>
        <v>2564511</v>
      </c>
    </row>
    <row r="12" spans="1:14" x14ac:dyDescent="0.25">
      <c r="C12" s="22">
        <f>C4/C3*100</f>
        <v>100</v>
      </c>
      <c r="D12" s="22" t="e">
        <f t="shared" ref="D12:G12" si="2">D4/D3*100</f>
        <v>#REF!</v>
      </c>
      <c r="E12" s="22">
        <f t="shared" si="2"/>
        <v>95.983620000000002</v>
      </c>
      <c r="F12" s="22">
        <f t="shared" si="2"/>
        <v>61.362479999999998</v>
      </c>
      <c r="G12" s="22">
        <f t="shared" si="2"/>
        <v>48.709780000000002</v>
      </c>
    </row>
    <row r="13" spans="1:14" x14ac:dyDescent="0.25">
      <c r="F13" s="2"/>
    </row>
    <row r="14" spans="1:14" x14ac:dyDescent="0.25">
      <c r="F14" s="2"/>
    </row>
    <row r="15" spans="1:14" x14ac:dyDescent="0.25">
      <c r="F15" s="2"/>
    </row>
    <row r="16" spans="1:14" x14ac:dyDescent="0.25">
      <c r="F16" s="2"/>
    </row>
    <row r="17" spans="6:9" x14ac:dyDescent="0.25">
      <c r="F17" s="2"/>
    </row>
    <row r="18" spans="6:9" x14ac:dyDescent="0.25">
      <c r="F18" s="2"/>
    </row>
    <row r="19" spans="6:9" x14ac:dyDescent="0.25">
      <c r="F19" s="2"/>
    </row>
    <row r="20" spans="6:9" x14ac:dyDescent="0.25">
      <c r="F20" s="2"/>
    </row>
    <row r="21" spans="6:9" x14ac:dyDescent="0.25">
      <c r="F21" s="2"/>
    </row>
    <row r="22" spans="6:9" x14ac:dyDescent="0.25">
      <c r="F22" s="2"/>
    </row>
    <row r="23" spans="6:9" x14ac:dyDescent="0.25">
      <c r="F23" s="2"/>
    </row>
    <row r="32" spans="6:9" x14ac:dyDescent="0.25">
      <c r="F32" s="19"/>
      <c r="G32" s="19"/>
      <c r="H32" s="19"/>
      <c r="I32" s="17"/>
    </row>
    <row r="33" spans="6:9" x14ac:dyDescent="0.25">
      <c r="F33" s="19"/>
      <c r="G33" s="19"/>
      <c r="H33" s="19"/>
      <c r="I33" s="17"/>
    </row>
    <row r="34" spans="6:9" x14ac:dyDescent="0.25">
      <c r="F34" s="19"/>
      <c r="G34" s="19"/>
      <c r="H34" s="19"/>
      <c r="I34" s="17"/>
    </row>
    <row r="35" spans="6:9" x14ac:dyDescent="0.25">
      <c r="F35" s="19"/>
      <c r="G35" s="19"/>
      <c r="H35" s="19"/>
      <c r="I35" s="17"/>
    </row>
    <row r="41" spans="6:9" x14ac:dyDescent="0.25">
      <c r="F41" s="17"/>
    </row>
  </sheetData>
  <mergeCells count="2">
    <mergeCell ref="B2:C2"/>
    <mergeCell ref="D2:E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ISR_ON_1M</vt:lpstr>
      <vt:lpstr>ISR_ON_5M</vt:lpstr>
      <vt:lpstr>ISR_OF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Mathew</dc:creator>
  <cp:lastModifiedBy>Philip Mathew</cp:lastModifiedBy>
  <dcterms:created xsi:type="dcterms:W3CDTF">2025-09-12T14:35:14Z</dcterms:created>
  <dcterms:modified xsi:type="dcterms:W3CDTF">2025-11-24T20:35:36Z</dcterms:modified>
</cp:coreProperties>
</file>